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auchamplab/Library/CloudStorage/Dropbox-PennNeurosurgery/Beauchamp Laboratory/BeauchampLabAtPenn/LabWiki/attachments/SmallFiles/"/>
    </mc:Choice>
  </mc:AlternateContent>
  <xr:revisionPtr revIDLastSave="0" documentId="13_ncr:1_{9EB90434-A96F-8E4F-BD16-86896CF2A4C6}" xr6:coauthVersionLast="47" xr6:coauthVersionMax="47" xr10:uidLastSave="{00000000-0000-0000-0000-000000000000}"/>
  <bookViews>
    <workbookView xWindow="0" yWindow="660" windowWidth="29400" windowHeight="16980" firstSheet="2" activeTab="16" xr2:uid="{97A5F347-1766-432B-9C77-78FCDB481D91}"/>
  </bookViews>
  <sheets>
    <sheet name="overview" sheetId="15" r:id="rId1"/>
    <sheet name="PAV058" sheetId="14" r:id="rId2"/>
    <sheet name="PAV060" sheetId="2" r:id="rId3"/>
    <sheet name="PAV062" sheetId="3" r:id="rId4"/>
    <sheet name="PAV064" sheetId="4" r:id="rId5"/>
    <sheet name="PAV065" sheetId="11" r:id="rId6"/>
    <sheet name="PAV066" sheetId="17" r:id="rId7"/>
    <sheet name="PAV067" sheetId="5" r:id="rId8"/>
    <sheet name="PAV069" sheetId="6" r:id="rId9"/>
    <sheet name="PAV070" sheetId="20" r:id="rId10"/>
    <sheet name="PAV073" sheetId="7" r:id="rId11"/>
    <sheet name="PAV075" sheetId="8" r:id="rId12"/>
    <sheet name="PAV076" sheetId="9" r:id="rId13"/>
    <sheet name="PAV079" sheetId="18" r:id="rId14"/>
    <sheet name="PAV081" sheetId="16" r:id="rId15"/>
    <sheet name="PAV083" sheetId="22" r:id="rId16"/>
    <sheet name="PAV084" sheetId="24" r:id="rId17"/>
    <sheet name="math" sheetId="13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3" l="1"/>
  <c r="H2" i="13"/>
  <c r="E2" i="13"/>
  <c r="D2" i="13"/>
  <c r="C2" i="13"/>
  <c r="I2" i="13"/>
  <c r="G2" i="13"/>
  <c r="B2" i="13"/>
  <c r="B5" i="13"/>
  <c r="G4" i="13"/>
  <c r="B4" i="13"/>
  <c r="G5" i="13"/>
</calcChain>
</file>

<file path=xl/sharedStrings.xml><?xml version="1.0" encoding="utf-8"?>
<sst xmlns="http://schemas.openxmlformats.org/spreadsheetml/2006/main" count="2253" uniqueCount="1143">
  <si>
    <t>region</t>
  </si>
  <si>
    <t>elec #</t>
  </si>
  <si>
    <t>STS</t>
  </si>
  <si>
    <t>response</t>
  </si>
  <si>
    <t>A</t>
  </si>
  <si>
    <t>AV</t>
  </si>
  <si>
    <t>x</t>
  </si>
  <si>
    <t>V</t>
  </si>
  <si>
    <t>STG</t>
  </si>
  <si>
    <t>total STS</t>
  </si>
  <si>
    <t>total STG</t>
  </si>
  <si>
    <t>% bimodal</t>
  </si>
  <si>
    <t>% A-only</t>
  </si>
  <si>
    <t>% V-only</t>
  </si>
  <si>
    <t>inactive</t>
  </si>
  <si>
    <t>Patient</t>
  </si>
  <si>
    <t>Micros? (y/n)</t>
  </si>
  <si>
    <t>Comedian</t>
  </si>
  <si>
    <t># of blocks</t>
  </si>
  <si>
    <t>blockNum</t>
  </si>
  <si>
    <t>PAV079</t>
  </si>
  <si>
    <t>n</t>
  </si>
  <si>
    <t>CP</t>
  </si>
  <si>
    <t>PAV076</t>
  </si>
  <si>
    <t>y</t>
  </si>
  <si>
    <t>CP, AM</t>
  </si>
  <si>
    <t>18, 32</t>
  </si>
  <si>
    <t>PAV075</t>
  </si>
  <si>
    <t>7, 27</t>
  </si>
  <si>
    <t>PAV073</t>
  </si>
  <si>
    <t>3, 8, 11, 12</t>
  </si>
  <si>
    <t>PAV070</t>
  </si>
  <si>
    <t>CP, AM, JS</t>
  </si>
  <si>
    <t>31, 45, 46</t>
  </si>
  <si>
    <t>PAV069</t>
  </si>
  <si>
    <t>AM, JS, CP, LS</t>
  </si>
  <si>
    <t>16, 23, 24, 32</t>
  </si>
  <si>
    <t>PAV067</t>
  </si>
  <si>
    <t>CP, AM, BL</t>
  </si>
  <si>
    <t>11, 12, 19</t>
  </si>
  <si>
    <t>PAV066</t>
  </si>
  <si>
    <t>18, 19</t>
  </si>
  <si>
    <t>PAV065</t>
  </si>
  <si>
    <t>CP, AM, JS, LS</t>
  </si>
  <si>
    <t>6, 7, 8, 9</t>
  </si>
  <si>
    <t>PAV064</t>
  </si>
  <si>
    <t>JS, AM, CP, LS</t>
  </si>
  <si>
    <t>17, 18, 31, 32</t>
  </si>
  <si>
    <t>PAV062</t>
  </si>
  <si>
    <t>JJ, CP, BL, AM</t>
  </si>
  <si>
    <t>8, 9, 25, 26</t>
  </si>
  <si>
    <t>PAV060</t>
  </si>
  <si>
    <t>JJ, AM, JS</t>
  </si>
  <si>
    <t>6, 18, 19</t>
  </si>
  <si>
    <t>PAV058</t>
  </si>
  <si>
    <t>JJ</t>
  </si>
  <si>
    <t>PAV081</t>
  </si>
  <si>
    <t>19, 20</t>
  </si>
  <si>
    <t>YFN</t>
  </si>
  <si>
    <t>YFO</t>
  </si>
  <si>
    <t>YFP</t>
  </si>
  <si>
    <t>YFR</t>
  </si>
  <si>
    <t>YFS</t>
  </si>
  <si>
    <t>YFT</t>
  </si>
  <si>
    <t>YFU</t>
  </si>
  <si>
    <t>reference</t>
  </si>
  <si>
    <t>CAR</t>
  </si>
  <si>
    <t>notes</t>
  </si>
  <si>
    <t>blk 19 noisy</t>
  </si>
  <si>
    <t>bipolar</t>
  </si>
  <si>
    <t>CP, JS</t>
  </si>
  <si>
    <t>bipolar, CAR</t>
  </si>
  <si>
    <t>data v noisy</t>
  </si>
  <si>
    <t>$ch20</t>
  </si>
  <si>
    <t>$ch20$cross_group</t>
  </si>
  <si>
    <t xml:space="preserve">            [,1]          [,2]</t>
  </si>
  <si>
    <t>mean -0.02575867 -2.567883e-01</t>
  </si>
  <si>
    <t>stat  0.41356118  5.170434e+00</t>
  </si>
  <si>
    <t>p     0.68096624  4.123021e-06</t>
  </si>
  <si>
    <t>$ch20$A</t>
  </si>
  <si>
    <t xml:space="preserve">             [,1]         [,2]</t>
  </si>
  <si>
    <t>mean 0.1761410296 2.394594e-01</t>
  </si>
  <si>
    <t>stat 3.9299450837 6.919252e+00</t>
  </si>
  <si>
    <t>p    0.0002964907 1.488393e-07</t>
  </si>
  <si>
    <t>$ch20$V</t>
  </si>
  <si>
    <t xml:space="preserve">             [,1]        [,2]</t>
  </si>
  <si>
    <t>mean 0.1503823601 -0.01732895</t>
  </si>
  <si>
    <t>stat 3.4770400292 -0.48647388</t>
  </si>
  <si>
    <t>p    0.0009350289  0.68456565</t>
  </si>
  <si>
    <t>$ch97</t>
  </si>
  <si>
    <t>$ch97$cross_group</t>
  </si>
  <si>
    <t xml:space="preserve">              [,1]         [,2]</t>
  </si>
  <si>
    <t>mean -4.455343e-01 -0.107016400</t>
  </si>
  <si>
    <t>stat  5.857157e+00  2.950728115</t>
  </si>
  <si>
    <t>p     5.909135e-07  0.004878285</t>
  </si>
  <si>
    <t>$ch97$A</t>
  </si>
  <si>
    <t>mean 5.763968e-01 1.244933e-01</t>
  </si>
  <si>
    <t>stat 9.042893e+00 4.455421e+00</t>
  </si>
  <si>
    <t>p    1.172636e-09 7.643441e-05</t>
  </si>
  <si>
    <t>$ch97$V</t>
  </si>
  <si>
    <t xml:space="preserve">            [,1]       [,2]</t>
  </si>
  <si>
    <t>mean 0.130862555 0.01747692</t>
  </si>
  <si>
    <t>stat 3.152346496 0.75587702</t>
  </si>
  <si>
    <t>p    0.002087612 0.22839330</t>
  </si>
  <si>
    <t xml:space="preserve">            [,1]         [,2]</t>
  </si>
  <si>
    <t xml:space="preserve">           [,1]         [,2]</t>
  </si>
  <si>
    <t xml:space="preserve">            [,1]        [,2]</t>
  </si>
  <si>
    <t xml:space="preserve">           [,1]       [,2]</t>
  </si>
  <si>
    <t>$ch32</t>
  </si>
  <si>
    <t>$ch32$cross_group</t>
  </si>
  <si>
    <t>$ch32$A</t>
  </si>
  <si>
    <t>$ch32$V</t>
  </si>
  <si>
    <t>$ch143</t>
  </si>
  <si>
    <t>$ch143$cross_group</t>
  </si>
  <si>
    <t>mean  0.02691696 -0.03270748</t>
  </si>
  <si>
    <t>stat -0.97752930  1.76746237</t>
  </si>
  <si>
    <t>p     0.32945532  0.07864350</t>
  </si>
  <si>
    <t>$ch143$A</t>
  </si>
  <si>
    <t>mean 0.01893148 0.0410763288</t>
  </si>
  <si>
    <t>stat 1.01222993 3.3083276469</t>
  </si>
  <si>
    <t>p    0.15680496 0.0006312521</t>
  </si>
  <si>
    <t>$ch143$V</t>
  </si>
  <si>
    <t xml:space="preserve">           [,1]        [,2]</t>
  </si>
  <si>
    <t>mean 0.04584844 0.008368845</t>
  </si>
  <si>
    <t>stat 2.26866160 0.609891544</t>
  </si>
  <si>
    <t>p    0.01274115 0.271672624</t>
  </si>
  <si>
    <r>
      <t>$ch97</t>
    </r>
    <r>
      <rPr>
        <sz val="12"/>
        <color rgb="FFC5060B"/>
        <rFont val="Courier New"/>
        <family val="1"/>
      </rPr>
      <t xml:space="preserve">                                                                            </t>
    </r>
  </si>
  <si>
    <t xml:space="preserve">              [,1]          [,2]</t>
  </si>
  <si>
    <r>
      <t>$ch31</t>
    </r>
    <r>
      <rPr>
        <sz val="12"/>
        <color rgb="FFC5060B"/>
        <rFont val="Courier New"/>
        <family val="1"/>
      </rPr>
      <t xml:space="preserve">                                                                            </t>
    </r>
  </si>
  <si>
    <t>$ch31$cross_group</t>
  </si>
  <si>
    <t>mean -0.01110763 -0.001593376</t>
  </si>
  <si>
    <t>stat  0.48514594  0.105957766</t>
  </si>
  <si>
    <t>p     0.62799278  0.915700432</t>
  </si>
  <si>
    <t>$ch31$A</t>
  </si>
  <si>
    <t>mean 0.038784573 0.01832039</t>
  </si>
  <si>
    <t>stat 2.412999725 1.65097822</t>
  </si>
  <si>
    <t>p    0.008625026 0.05060689</t>
  </si>
  <si>
    <t>$ch31$V</t>
  </si>
  <si>
    <t>mean 0.02767694 0.01672702</t>
  </si>
  <si>
    <t>stat 1.69744701 1.64816132</t>
  </si>
  <si>
    <t>p    0.04604042 0.05090549</t>
  </si>
  <si>
    <t>$ch43</t>
  </si>
  <si>
    <t>$ch43$cross_group</t>
  </si>
  <si>
    <t>$ch43$A</t>
  </si>
  <si>
    <t>$ch43$V</t>
  </si>
  <si>
    <t>$ch44</t>
  </si>
  <si>
    <t>$ch44$cross_group</t>
  </si>
  <si>
    <t>mean -0.02008598  0.01208108</t>
  </si>
  <si>
    <t>stat  0.90697740 -0.73706344</t>
  </si>
  <si>
    <t>p     0.36529217  0.46176771</t>
  </si>
  <si>
    <t>$ch44$A</t>
  </si>
  <si>
    <t xml:space="preserve">             [,1]       [,2]</t>
  </si>
  <si>
    <t>mean 0.0541193158 0.02366785</t>
  </si>
  <si>
    <t>stat 3.2747142512 2.07760131</t>
  </si>
  <si>
    <t>p    0.0006816475 0.01988039</t>
  </si>
  <si>
    <t>$ch44$V</t>
  </si>
  <si>
    <t>mean 0.03403334 0.03574893</t>
  </si>
  <si>
    <t>stat 2.30860269 3.03345447</t>
  </si>
  <si>
    <t>p    0.01129730 0.00146835</t>
  </si>
  <si>
    <t>$ch158</t>
  </si>
  <si>
    <t>$ch158$cross_group</t>
  </si>
  <si>
    <t>mean  0.002228543 -0.045329334</t>
  </si>
  <si>
    <t>stat -0.093723714  2.864785956</t>
  </si>
  <si>
    <t>p     0.925402813  0.004530031</t>
  </si>
  <si>
    <t>$ch158$A</t>
  </si>
  <si>
    <t>mean 0.03889839 7.159606e-02</t>
  </si>
  <si>
    <t>stat 2.31357871 5.991231e+00</t>
  </si>
  <si>
    <t>p    0.01114894 1.001870e-08</t>
  </si>
  <si>
    <t>$ch158$V</t>
  </si>
  <si>
    <t>mean 0.041126932 0.02626672</t>
  </si>
  <si>
    <t>stat 2.446023621 2.53268650</t>
  </si>
  <si>
    <t>p    0.007912282 0.00627350</t>
  </si>
  <si>
    <t>STS bimodal electrodes</t>
  </si>
  <si>
    <t>STG bimodal electrodes</t>
  </si>
  <si>
    <t>mean -0.01154003 -8.582862e-02</t>
  </si>
  <si>
    <t>stat  0.43425691  4.903057e+00</t>
  </si>
  <si>
    <t>p     0.66450025  1.754242e-06</t>
  </si>
  <si>
    <t>mean 0.052844621 1.180312e-01</t>
  </si>
  <si>
    <t>stat 2.864533503 9.082455e+00</t>
  </si>
  <si>
    <t>p    0.002450103 9.800943e-16</t>
  </si>
  <si>
    <t>mean 0.04130459 0.032202588</t>
  </si>
  <si>
    <t>stat 2.15942938 2.745787790</t>
  </si>
  <si>
    <t>p    0.01647483 0.003517303</t>
  </si>
  <si>
    <t>mean -0.03484378 -0.05546740</t>
  </si>
  <si>
    <t>stat  1.04634717  2.31371156</t>
  </si>
  <si>
    <t>p     0.29646766  0.02155956</t>
  </si>
  <si>
    <t>mean 1.883921e-01 1.380413e-01</t>
  </si>
  <si>
    <t>stat 7.684233e+00 8.562155e+00</t>
  </si>
  <si>
    <t>p    1.950975e-12 1.717095e-14</t>
  </si>
  <si>
    <t>mean 1.535484e-01 8.257386e-02</t>
  </si>
  <si>
    <t>stat 6.813632e+00 4.654031e+00</t>
  </si>
  <si>
    <t>p    2.506697e-10 4.495238e-06</t>
  </si>
  <si>
    <t>mean -0.06273640 -0.0840664853</t>
  </si>
  <si>
    <t>stat  1.72046093  3.3512619703</t>
  </si>
  <si>
    <t>p     0.08665393  0.0009370051</t>
  </si>
  <si>
    <t>mean 3.599007e-01 2.456874e-01</t>
  </si>
  <si>
    <t>stat 1.360599e+01 1.404507e+01</t>
  </si>
  <si>
    <t>p    9.939039e-27 8.905830e-28</t>
  </si>
  <si>
    <t>mean 2.971643e-01 1.616209e-01</t>
  </si>
  <si>
    <t>stat 1.183932e+01 8.989201e+00</t>
  </si>
  <si>
    <t>p    9.146973e-22 3.536159e-15</t>
  </si>
  <si>
    <t>$ch45</t>
  </si>
  <si>
    <t>$ch45$cross_group</t>
  </si>
  <si>
    <t xml:space="preserve">             [,1]          [,2]</t>
  </si>
  <si>
    <t>mean -0.118311926 -1.730905e-01</t>
  </si>
  <si>
    <t>stat  3.270683776  7.162031e+00</t>
  </si>
  <si>
    <t>p     0.001235034  1.077182e-11</t>
  </si>
  <si>
    <t>$ch45$A</t>
  </si>
  <si>
    <t>mean 3.209622e-01 2.951345e-01</t>
  </si>
  <si>
    <t>stat 1.155820e+01 1.548716e+01</t>
  </si>
  <si>
    <t>p    9.126060e-22 3.676864e-31</t>
  </si>
  <si>
    <t>$ch45$V</t>
  </si>
  <si>
    <t>mean 2.026502e-01 1.220439e-01</t>
  </si>
  <si>
    <t>stat 8.741830e+00 8.210976e+00</t>
  </si>
  <si>
    <t>p    1.303241e-14 2.094983e-13</t>
  </si>
  <si>
    <r>
      <t>$ch3</t>
    </r>
    <r>
      <rPr>
        <sz val="12"/>
        <color rgb="FFC5060B"/>
        <rFont val="Courier New"/>
        <family val="1"/>
      </rPr>
      <t xml:space="preserve">                                                                             </t>
    </r>
  </si>
  <si>
    <t>$ch3$cross_group</t>
  </si>
  <si>
    <t>mean  1.191358e-01  2.407180e-01</t>
  </si>
  <si>
    <t>stat -4.119469e+00 -1.086234e+01</t>
  </si>
  <si>
    <t>p     5.173322e-05  2.164151e-22</t>
  </si>
  <si>
    <t>$ch3$A</t>
  </si>
  <si>
    <t>mean 0.03995521 -0.02013115</t>
  </si>
  <si>
    <t>stat 2.05695161 -1.56048986</t>
  </si>
  <si>
    <t>p    0.02086107  0.93944338</t>
  </si>
  <si>
    <t>$ch3$V</t>
  </si>
  <si>
    <t>mean 1.590910e-01 2.205869e-01</t>
  </si>
  <si>
    <t>stat 7.425194e+00 1.224205e+01</t>
  </si>
  <si>
    <t>p    7.887660e-12 2.218387e-23</t>
  </si>
  <si>
    <t>$ch4</t>
  </si>
  <si>
    <t>$ch4$cross_group</t>
  </si>
  <si>
    <t>mean  0.08002974  1.214105e-01</t>
  </si>
  <si>
    <t>stat -2.50028268 -4.549251e+00</t>
  </si>
  <si>
    <t>p     0.01310510  8.844646e-06</t>
  </si>
  <si>
    <t>$ch4$A</t>
  </si>
  <si>
    <t>mean 7.432649e-02 1.575075e-01</t>
  </si>
  <si>
    <t>stat 3.892913e+00 1.032308e+01</t>
  </si>
  <si>
    <t>p    7.929446e-05 7.556777e-19</t>
  </si>
  <si>
    <t>$ch4$V</t>
  </si>
  <si>
    <t>mean 1.543562e-01 2.789180e-01</t>
  </si>
  <si>
    <t>stat 6.008326e+00 1.273811e+01</t>
  </si>
  <si>
    <t>p    9.671978e-09 1.402936e-24</t>
  </si>
  <si>
    <t>$ch53</t>
  </si>
  <si>
    <t>$ch53$cross_group</t>
  </si>
  <si>
    <t>mean -0.02266868  0.001820232</t>
  </si>
  <si>
    <t>stat  0.80987996 -0.092091224</t>
  </si>
  <si>
    <t>p     0.41878133  0.926700046</t>
  </si>
  <si>
    <t>$ch53$A</t>
  </si>
  <si>
    <t>mean 0.0740181566 0.040017425</t>
  </si>
  <si>
    <t>stat 3.5358312913 2.669744081</t>
  </si>
  <si>
    <t>p    0.0002833256 0.004287566</t>
  </si>
  <si>
    <t>$ch53$V</t>
  </si>
  <si>
    <t>mean 0.051349480 0.0418376571</t>
  </si>
  <si>
    <t>stat 2.763648842 3.2472407699</t>
  </si>
  <si>
    <t>p    0.003293831 0.0007495645</t>
  </si>
  <si>
    <t>$ch54</t>
  </si>
  <si>
    <t>$ch54$cross_group</t>
  </si>
  <si>
    <t>mean -0.068438691 -0.0203727</t>
  </si>
  <si>
    <t>stat  2.790175258  1.1147703</t>
  </si>
  <si>
    <t>p     0.005670685  0.2660123</t>
  </si>
  <si>
    <t>$ch54$A</t>
  </si>
  <si>
    <t>mean 1.023473e-01 5.351873e-02</t>
  </si>
  <si>
    <t>stat 5.872601e+00 4.036124e+00</t>
  </si>
  <si>
    <t>p    1.739307e-08 4.647344e-05</t>
  </si>
  <si>
    <t>$ch54$V</t>
  </si>
  <si>
    <t>mean 0.03390858 0.033146026</t>
  </si>
  <si>
    <t>stat 1.96455943 2.635631978</t>
  </si>
  <si>
    <t>p    0.02585088 0.004735235</t>
  </si>
  <si>
    <t>$ch55</t>
  </si>
  <si>
    <t>$ch55$cross_group</t>
  </si>
  <si>
    <t>mean -1.103499e-01 -1.698319e-01</t>
  </si>
  <si>
    <t>stat  4.389402e+00  8.751324e+00</t>
  </si>
  <si>
    <t>p     1.682339e-05  3.459672e-16</t>
  </si>
  <si>
    <t>$ch55$A</t>
  </si>
  <si>
    <t>mean 1.403568e-01 2.080306e-01</t>
  </si>
  <si>
    <t>stat 7.402211e+00 1.395653e+01</t>
  </si>
  <si>
    <t>p    7.882357e-12 8.810154e-28</t>
  </si>
  <si>
    <t>$ch55$V</t>
  </si>
  <si>
    <t>mean 0.03000690 0.038198695</t>
  </si>
  <si>
    <t>stat 1.81781235 3.073831227</t>
  </si>
  <si>
    <t>p    0.03575349 0.001299647</t>
  </si>
  <si>
    <t>$ch70</t>
  </si>
  <si>
    <t>$ch70$cross_group</t>
  </si>
  <si>
    <t>mean -4.357972e-01 -2.229861e-01</t>
  </si>
  <si>
    <t>stat  1.194695e+01  9.912385e+00</t>
  </si>
  <si>
    <t>p     9.784835e-26  1.069391e-19</t>
  </si>
  <si>
    <t>$ch70$A</t>
  </si>
  <si>
    <t>mean 4.991053e-01 2.956657e-01</t>
  </si>
  <si>
    <t>stat 1.646001e+01 1.711478e+01</t>
  </si>
  <si>
    <t>p    1.078526e-33 3.440927e-35</t>
  </si>
  <si>
    <t>$ch70$V</t>
  </si>
  <si>
    <t>mean 0.063308112 7.267965e-02</t>
  </si>
  <si>
    <t>stat 3.122078209 5.044093e+00</t>
  </si>
  <si>
    <t>p    0.001117543 7.888945e-07</t>
  </si>
  <si>
    <t>$ch122</t>
  </si>
  <si>
    <t>$ch122$cross_group</t>
  </si>
  <si>
    <t>mean -0.091266536 -0.03784147</t>
  </si>
  <si>
    <t>stat  2.597427096  1.46043888</t>
  </si>
  <si>
    <t>p     0.009973383  0.14547126</t>
  </si>
  <si>
    <t>$ch122$A</t>
  </si>
  <si>
    <t>mean 2.304310e-01 1.727989e-01</t>
  </si>
  <si>
    <t>stat 8.324452e+00 1.052168e+01</t>
  </si>
  <si>
    <t>p    5.514279e-14 2.441954e-19</t>
  </si>
  <si>
    <t>$ch122$V</t>
  </si>
  <si>
    <t>mean 1.391645e-01 1.349574e-01</t>
  </si>
  <si>
    <t>stat 6.430279e+00 6.733896e+00</t>
  </si>
  <si>
    <t>p    1.246904e-09 2.745846e-10</t>
  </si>
  <si>
    <t>$ch123</t>
  </si>
  <si>
    <t>$ch123$cross_group</t>
  </si>
  <si>
    <t>mean -3.861592e-01 -1.811309e-01</t>
  </si>
  <si>
    <t>stat  9.280990e+00  7.325500e+00</t>
  </si>
  <si>
    <t>p     1.953958e-17  3.225538e-12</t>
  </si>
  <si>
    <t>$ch123$A</t>
  </si>
  <si>
    <t>mean 5.905929e-01 3.098944e-01</t>
  </si>
  <si>
    <t>stat 1.672009e+01 1.722614e+01</t>
  </si>
  <si>
    <t>p    2.728247e-34 1.925180e-35</t>
  </si>
  <si>
    <t>$ch123$V</t>
  </si>
  <si>
    <t>mean 2.044338e-01 1.287636e-01</t>
  </si>
  <si>
    <t>stat 9.297068e+00 7.590806e+00</t>
  </si>
  <si>
    <t>p    3.165866e-16 3.307006e-12</t>
  </si>
  <si>
    <t>$ch124</t>
  </si>
  <si>
    <t>$ch124$cross_group</t>
  </si>
  <si>
    <t>mean -5.912508e-01 -2.998919e-01</t>
  </si>
  <si>
    <t>stat  1.230435e+01  1.259333e+01</t>
  </si>
  <si>
    <t>p     7.891000e-26  3.707782e-28</t>
  </si>
  <si>
    <t>$ch124$A</t>
  </si>
  <si>
    <t>mean 7.831898e-01 3.732473e-01</t>
  </si>
  <si>
    <t>stat 1.814505e+01 1.961931e+01</t>
  </si>
  <si>
    <t>p    1.692433e-37 1.061961e-40</t>
  </si>
  <si>
    <t>$ch124$V</t>
  </si>
  <si>
    <t>mean 1.919390e-01 7.335541e-02</t>
  </si>
  <si>
    <t>stat 9.088656e+00 5.121437e+00</t>
  </si>
  <si>
    <t>p    1.002188e-15 5.632325e-07</t>
  </si>
  <si>
    <t>$ch222</t>
  </si>
  <si>
    <t>$ch222$cross_group</t>
  </si>
  <si>
    <t>mean  0.009262497 -0.004296282</t>
  </si>
  <si>
    <t>stat -0.396696405  0.278910873</t>
  </si>
  <si>
    <t>p     0.691928065  0.780542844</t>
  </si>
  <si>
    <t>$ch222$A</t>
  </si>
  <si>
    <t>mean 0.051114820 4.277899e-02</t>
  </si>
  <si>
    <t>stat 3.156908963 4.020788e+00</t>
  </si>
  <si>
    <t>p    0.000994345 4.924085e-05</t>
  </si>
  <si>
    <t>$ch222$V</t>
  </si>
  <si>
    <t>mean 0.0603773174 0.0384827123</t>
  </si>
  <si>
    <t>stat 3.5889463160 3.4547557627</t>
  </si>
  <si>
    <t>p    0.0002382264 0.0003772771</t>
  </si>
  <si>
    <t>$ch223</t>
  </si>
  <si>
    <t>$ch223$cross_group</t>
  </si>
  <si>
    <t>mean -0.02582284 -0.02721475</t>
  </si>
  <si>
    <t>stat  1.03501344  1.70631468</t>
  </si>
  <si>
    <t>p     0.30166221  0.08918792</t>
  </si>
  <si>
    <t>$ch223$A</t>
  </si>
  <si>
    <t>mean 0.054435228 5.840274e-02</t>
  </si>
  <si>
    <t>stat 2.939161651 4.964202e+00</t>
  </si>
  <si>
    <t>p    0.001952754 1.077953e-06</t>
  </si>
  <si>
    <t>$ch223$V</t>
  </si>
  <si>
    <t>mean 0.02861239 0.031187990</t>
  </si>
  <si>
    <t>stat 1.71159533 2.896053101</t>
  </si>
  <si>
    <t>p    0.04473568 0.002233906</t>
  </si>
  <si>
    <t>$ch246</t>
  </si>
  <si>
    <t>$ch246$cross_group</t>
  </si>
  <si>
    <t>mean -0.05829710 -0.01842012</t>
  </si>
  <si>
    <t>stat  1.90240117  0.98842698</t>
  </si>
  <si>
    <t>p     0.05833722  0.32390030</t>
  </si>
  <si>
    <t>$ch246$A</t>
  </si>
  <si>
    <t>mean 1.816974e-01 0.0453166955</t>
  </si>
  <si>
    <t>stat 7.417164e+00 3.5844715391</t>
  </si>
  <si>
    <t>p    7.284466e-12 0.0002394122</t>
  </si>
  <si>
    <t>$ch246$V</t>
  </si>
  <si>
    <t>mean 1.234003e-01 0.02689658</t>
  </si>
  <si>
    <t>stat 6.702632e+00 1.96445953</t>
  </si>
  <si>
    <t>p    3.213320e-10 0.02585674</t>
  </si>
  <si>
    <t>$ch247</t>
  </si>
  <si>
    <t>$ch247$cross_group</t>
  </si>
  <si>
    <t>mean -0.06012753 -8.925512e-02</t>
  </si>
  <si>
    <t>stat  2.14446311  5.029533e+00</t>
  </si>
  <si>
    <t>p     0.03296467  9.360714e-07</t>
  </si>
  <si>
    <t>$ch247$A</t>
  </si>
  <si>
    <t>mean 1.507756e-01 1.322255e-01</t>
  </si>
  <si>
    <t>stat 7.159014e+00 1.072075e+01</t>
  </si>
  <si>
    <t>p    2.819516e-11 7.860741e-20</t>
  </si>
  <si>
    <t>$ch247$V</t>
  </si>
  <si>
    <t>mean 9.064811e-02 0.0429703808</t>
  </si>
  <si>
    <t>stat 4.897438e+00 3.3676640757</t>
  </si>
  <si>
    <t>p    1.481924e-06 0.0005051006</t>
  </si>
  <si>
    <r>
      <t>$ch38</t>
    </r>
    <r>
      <rPr>
        <sz val="12"/>
        <color rgb="FFC5060B"/>
        <rFont val="Courier New"/>
        <family val="1"/>
      </rPr>
      <t xml:space="preserve">                                                                            </t>
    </r>
  </si>
  <si>
    <t>$ch38$cross_group</t>
  </si>
  <si>
    <t>mean  0.13137881  0.102871683</t>
  </si>
  <si>
    <t>stat -2.33634197 -3.318634437</t>
  </si>
  <si>
    <t>p     0.02222478  0.001418633</t>
  </si>
  <si>
    <t>$ch38$A</t>
  </si>
  <si>
    <t>mean 0.128679137 0.01295676</t>
  </si>
  <si>
    <t>stat 3.314164885 0.62682779</t>
  </si>
  <si>
    <t>p    0.001051791 0.26736368</t>
  </si>
  <si>
    <t>$ch38$V</t>
  </si>
  <si>
    <t>mean 2.600580e-01 1.158284e-01</t>
  </si>
  <si>
    <t>stat 6.393319e+00 5.014150e+00</t>
  </si>
  <si>
    <t>p    9.229625e-08 6.751207e-06</t>
  </si>
  <si>
    <t>$ch106</t>
  </si>
  <si>
    <t>$ch106$cross_group</t>
  </si>
  <si>
    <t>mean -0.008848993  0.02515466</t>
  </si>
  <si>
    <t>stat  0.210688994 -0.82828054</t>
  </si>
  <si>
    <t>p     0.833726965  0.41021400</t>
  </si>
  <si>
    <t>$ch106$A</t>
  </si>
  <si>
    <t>mean 0.067476237 0.02677102</t>
  </si>
  <si>
    <t>stat 2.456148523 1.23619658</t>
  </si>
  <si>
    <t>p    0.009500121 0.11219536</t>
  </si>
  <si>
    <t>$ch106$V</t>
  </si>
  <si>
    <t>mean 0.05862724 0.051925675</t>
  </si>
  <si>
    <t>stat 1.84540369 2.438765923</t>
  </si>
  <si>
    <t>p    0.03649670 0.009827881</t>
  </si>
  <si>
    <r>
      <t>$ch116</t>
    </r>
    <r>
      <rPr>
        <sz val="12"/>
        <color rgb="FFC5060B"/>
        <rFont val="Courier New"/>
        <family val="1"/>
      </rPr>
      <t xml:space="preserve">                                                                           </t>
    </r>
  </si>
  <si>
    <t>$ch116$cross_group</t>
  </si>
  <si>
    <t>mean  0.03070018 -0.07205191</t>
  </si>
  <si>
    <t>stat -0.67735962  2.12007390</t>
  </si>
  <si>
    <t>p     0.50028493  0.03796257</t>
  </si>
  <si>
    <t>$ch116$A</t>
  </si>
  <si>
    <t>mean 0.04251472 0.1122345392</t>
  </si>
  <si>
    <t>stat 1.25435878 3.8708082275</t>
  </si>
  <si>
    <t>p    0.10868635 0.0002067425</t>
  </si>
  <si>
    <t>$ch116$V</t>
  </si>
  <si>
    <t>mean 0.073214906 0.04018263</t>
  </si>
  <si>
    <t>stat 2.433171645 2.26654773</t>
  </si>
  <si>
    <t>p    0.009959204 0.01467762</t>
  </si>
  <si>
    <t>$ch117</t>
  </si>
  <si>
    <t>$ch117$cross_group</t>
  </si>
  <si>
    <t>mean -0.05823659 -0.120607464</t>
  </si>
  <si>
    <t>stat  1.27517087  3.507897803</t>
  </si>
  <si>
    <t>p     0.20618896  0.000805359</t>
  </si>
  <si>
    <t>$ch117$A</t>
  </si>
  <si>
    <t>mean 0.1136333989 1.568547e-01</t>
  </si>
  <si>
    <t>stat 3.4404432186 5.586545e+00</t>
  </si>
  <si>
    <t>p    0.0007127034 1.050663e-06</t>
  </si>
  <si>
    <t>$ch117$V</t>
  </si>
  <si>
    <t>mean 0.05539681 0.03624722</t>
  </si>
  <si>
    <t>stat 1.75635608 1.82664174</t>
  </si>
  <si>
    <t>p    0.04365123 0.03791506</t>
  </si>
  <si>
    <r>
      <t>$ch181</t>
    </r>
    <r>
      <rPr>
        <sz val="12"/>
        <color rgb="FFC5060B"/>
        <rFont val="Courier New"/>
        <family val="1"/>
      </rPr>
      <t xml:space="preserve">                                                                           </t>
    </r>
  </si>
  <si>
    <t>$ch181$cross_group</t>
  </si>
  <si>
    <t>mean  0.0280391 -0.00139625</t>
  </si>
  <si>
    <t>stat -0.6447411  0.04472306</t>
  </si>
  <si>
    <t>p     0.5203539  0.96440424</t>
  </si>
  <si>
    <t>$ch181$A</t>
  </si>
  <si>
    <t>mean 0.07657624 0.06386529</t>
  </si>
  <si>
    <t>stat 2.38090767 2.75188741</t>
  </si>
  <si>
    <t>p    0.01023078 0.00391240</t>
  </si>
  <si>
    <t>$ch181$V</t>
  </si>
  <si>
    <t>mean 0.1046153413 0.062469040</t>
  </si>
  <si>
    <t>stat 3.5738986853 2.991448833</t>
  </si>
  <si>
    <t>p    0.0003581694 0.002035877</t>
  </si>
  <si>
    <t>$ch182</t>
  </si>
  <si>
    <t>$ch182$cross_group</t>
  </si>
  <si>
    <t>mean  0.05597828 -0.04839913</t>
  </si>
  <si>
    <t>stat -1.28307567  1.49237849</t>
  </si>
  <si>
    <t>p     0.20201515  0.13827327</t>
  </si>
  <si>
    <t>$ch182$A</t>
  </si>
  <si>
    <t>mean 1.414056e-01 1.506574e-01</t>
  </si>
  <si>
    <t>stat 4.835820e+00 6.650428e+00</t>
  </si>
  <si>
    <t>p    4.803090e-06 4.921553e-09</t>
  </si>
  <si>
    <t>$ch182$V</t>
  </si>
  <si>
    <t>mean 1.973838e-01 0.1022582712</t>
  </si>
  <si>
    <t>stat 6.096139e+00 4.4063448950</t>
  </si>
  <si>
    <t>p    4.728115e-08 0.0000229886</t>
  </si>
  <si>
    <t>$ch183</t>
  </si>
  <si>
    <t>$ch183$cross_group</t>
  </si>
  <si>
    <t>mean -0.07408917 -3.130368e-01</t>
  </si>
  <si>
    <t>stat  1.30294648  8.396834e+00</t>
  </si>
  <si>
    <t>p     0.19526338  1.615008e-13</t>
  </si>
  <si>
    <t>$ch183$A</t>
  </si>
  <si>
    <t>mean 3.958776e-01 4.484072e-01</t>
  </si>
  <si>
    <t>stat 8.818476e+00 1.518923e+01</t>
  </si>
  <si>
    <t>p    9.983247e-13 1.581389e-22</t>
  </si>
  <si>
    <t>$ch183$V</t>
  </si>
  <si>
    <t>mean 3.217884e-01 1.353704e-01</t>
  </si>
  <si>
    <t>stat 9.219958e+00 5.946050e+00</t>
  </si>
  <si>
    <t>p    2.880445e-13 8.362581e-08</t>
  </si>
  <si>
    <r>
      <t>$ch133</t>
    </r>
    <r>
      <rPr>
        <sz val="12"/>
        <color rgb="FFC5060B"/>
        <rFont val="Courier New"/>
        <family val="1"/>
      </rPr>
      <t xml:space="preserve">                                                                           </t>
    </r>
  </si>
  <si>
    <t>$ch133$cross_group</t>
  </si>
  <si>
    <t xml:space="preserve">              [,1]        [,2]</t>
  </si>
  <si>
    <t>mean  0.0005831941 -0.04761207</t>
  </si>
  <si>
    <t>stat -0.0125833917  1.52140692</t>
  </si>
  <si>
    <t>p     0.9900011978  0.13349479</t>
  </si>
  <si>
    <t>$ch133$A</t>
  </si>
  <si>
    <t>mean 0.06741232 0.064572770</t>
  </si>
  <si>
    <t>stat 2.15865496 3.244360129</t>
  </si>
  <si>
    <t>p    0.01924128 0.001377993</t>
  </si>
  <si>
    <t>$ch133$V</t>
  </si>
  <si>
    <t xml:space="preserve">           [,1]      [,2]</t>
  </si>
  <si>
    <t>mean 0.06799552 0.0169607</t>
  </si>
  <si>
    <t>stat 1.98554230 0.7023021</t>
  </si>
  <si>
    <t>p    0.02814539 0.2439523</t>
  </si>
  <si>
    <t>$ch134</t>
  </si>
  <si>
    <t>$ch134$cross_group</t>
  </si>
  <si>
    <t>mean  0.02123034 -0.002330547</t>
  </si>
  <si>
    <t>stat -0.38586240  0.062991300</t>
  </si>
  <si>
    <t>p     0.70097699  0.949989103</t>
  </si>
  <si>
    <t>$ch134$A</t>
  </si>
  <si>
    <t>mean 0.07904806 0.001181491</t>
  </si>
  <si>
    <t>stat 2.23911012 0.051182946</t>
  </si>
  <si>
    <t>p    0.01611444 0.479748954</t>
  </si>
  <si>
    <t>$ch134$V</t>
  </si>
  <si>
    <t>mean 0.10027840 -0.001149056</t>
  </si>
  <si>
    <t>stat 2.37620654 -0.039741183</t>
  </si>
  <si>
    <t>p    0.01203743  0.515718615</t>
  </si>
  <si>
    <t>$ch200</t>
  </si>
  <si>
    <t>$ch200$cross_group</t>
  </si>
  <si>
    <t>mean -0.14858741 -1.924962e-01</t>
  </si>
  <si>
    <t>stat  2.05496466  4.585682e+00</t>
  </si>
  <si>
    <t>p     0.04427441  2.387532e-05</t>
  </si>
  <si>
    <t>$ch200$A</t>
  </si>
  <si>
    <t>mean 3.378624e-01 3.319453e-01</t>
  </si>
  <si>
    <t>stat 5.950260e+00 1.002410e+01</t>
  </si>
  <si>
    <t>p    6.267851e-07 1.068694e-11</t>
  </si>
  <si>
    <t>$ch200$V</t>
  </si>
  <si>
    <t>mean 0.189275013 1.394490e-01</t>
  </si>
  <si>
    <t>stat 4.227942052 5.405408e+00</t>
  </si>
  <si>
    <t>p    0.000101693 3.707471e-06</t>
  </si>
  <si>
    <r>
      <t>$ch96</t>
    </r>
    <r>
      <rPr>
        <sz val="12"/>
        <color rgb="FFC5060B"/>
        <rFont val="Courier New"/>
        <family val="1"/>
      </rPr>
      <t xml:space="preserve">                                                                            </t>
    </r>
  </si>
  <si>
    <t>$ch96$cross_group</t>
  </si>
  <si>
    <t>mean -2.578644e-01 -1.823877e-01</t>
  </si>
  <si>
    <t>stat  4.929186e+00  5.201063e+00</t>
  </si>
  <si>
    <t>p     1.068725e-05  3.703905e-06</t>
  </si>
  <si>
    <t>$ch96$A</t>
  </si>
  <si>
    <t>mean 3.447612e-01 2.297483e-01</t>
  </si>
  <si>
    <t>stat 8.326065e+00 9.382951e+00</t>
  </si>
  <si>
    <t>p    5.627880e-09 5.705207e-10</t>
  </si>
  <si>
    <t>$ch96$V</t>
  </si>
  <si>
    <t>mean 0.086896816 0.04736062</t>
  </si>
  <si>
    <t>stat 2.717975473 1.88663577</t>
  </si>
  <si>
    <t>p    0.005879018 0.03543804</t>
  </si>
  <si>
    <t>$ch98</t>
  </si>
  <si>
    <t>$ch98$cross_group</t>
  </si>
  <si>
    <t>mean -3.689531e-01 -0.05091565</t>
  </si>
  <si>
    <t>stat  4.509780e+00  1.45961889</t>
  </si>
  <si>
    <t>p     3.945312e-05  0.15150437</t>
  </si>
  <si>
    <t>$ch98$A</t>
  </si>
  <si>
    <t>mean 5.254379e-01 0.058098650</t>
  </si>
  <si>
    <t>stat 9.210644e+00 2.969059503</t>
  </si>
  <si>
    <t>p    8.203457e-10 0.003251668</t>
  </si>
  <si>
    <t>$ch98$V</t>
  </si>
  <si>
    <t>mean 0.156484858 0.007183002</t>
  </si>
  <si>
    <t>stat 2.668499616 0.248741268</t>
  </si>
  <si>
    <t>p    0.006591653 0.402796507</t>
  </si>
  <si>
    <r>
      <t>$ch20</t>
    </r>
    <r>
      <rPr>
        <sz val="12"/>
        <color rgb="FFC5060B"/>
        <rFont val="Courier New"/>
        <family val="1"/>
      </rPr>
      <t xml:space="preserve">                                                                            </t>
    </r>
  </si>
  <si>
    <t>mean -0.09866869 -0.104424088</t>
  </si>
  <si>
    <t>stat  2.35486377  3.114737599</t>
  </si>
  <si>
    <t>p     0.01945221  0.002150244</t>
  </si>
  <si>
    <t>mean 1.892665e-01 2.327120e-01</t>
  </si>
  <si>
    <t>stat 6.120690e+00 1.240170e+01</t>
  </si>
  <si>
    <t>p    7.037342e-09 4.702437e-23</t>
  </si>
  <si>
    <t>mean 0.0905977601 1.282879e-01</t>
  </si>
  <si>
    <t>stat 3.2042932574 4.617566e+00</t>
  </si>
  <si>
    <t>p    0.0009137524 5.899632e-06</t>
  </si>
  <si>
    <t>$ch21</t>
  </si>
  <si>
    <t>$ch21$cross_group</t>
  </si>
  <si>
    <t>mean  0.01254148 -0.003119297</t>
  </si>
  <si>
    <t>stat -0.41689199  0.115027308</t>
  </si>
  <si>
    <t>p     0.67718412  0.908533536</t>
  </si>
  <si>
    <t>$ch21$A</t>
  </si>
  <si>
    <t>mean 0.05062815 0.03514634</t>
  </si>
  <si>
    <t>stat 2.35488176 1.74483263</t>
  </si>
  <si>
    <t>p    0.01013471 0.04187849</t>
  </si>
  <si>
    <t>$ch21$V</t>
  </si>
  <si>
    <t>mean 0.06316963 0.03202704</t>
  </si>
  <si>
    <t>stat 3.00200392 1.76400667</t>
  </si>
  <si>
    <t>p    0.00170136 0.04042353</t>
  </si>
  <si>
    <t>mean -3.241664e-01 -2.441580e-01</t>
  </si>
  <si>
    <t>stat  1.002524e+01  1.255207e+01</t>
  </si>
  <si>
    <t>p     5.724256e-20  2.599890e-28</t>
  </si>
  <si>
    <t>mean 3.858614e-01 3.031891e-01</t>
  </si>
  <si>
    <t>stat 1.510563e+01 2.062562e+01</t>
  </si>
  <si>
    <t>p    1.907396e-30 1.152148e-42</t>
  </si>
  <si>
    <t>mean 0.061694941 5.903108e-02</t>
  </si>
  <si>
    <t>stat 3.111908298 4.633833e+00</t>
  </si>
  <si>
    <t>p    0.001150065 4.413620e-06</t>
  </si>
  <si>
    <t>$ch46</t>
  </si>
  <si>
    <t>$ch46$cross_group</t>
  </si>
  <si>
    <t>mean -2.181817e-01 -2.868912e-01</t>
  </si>
  <si>
    <t>stat  6.099782e+00  1.037857e+01</t>
  </si>
  <si>
    <t>p     4.517270e-09  7.357706e-21</t>
  </si>
  <si>
    <t>$ch46$A</t>
  </si>
  <si>
    <t>mean 3.376238e-01 3.707810e-01</t>
  </si>
  <si>
    <t>stat 1.190321e+01 1.667537e+01</t>
  </si>
  <si>
    <t>p    1.311510e-22 7.102410e-34</t>
  </si>
  <si>
    <t>$ch46$V</t>
  </si>
  <si>
    <t>mean 1.194422e-01 8.388977e-02</t>
  </si>
  <si>
    <t>stat 5.481060e+00 5.108114e+00</t>
  </si>
  <si>
    <t>p    1.319262e-07 6.740952e-07</t>
  </si>
  <si>
    <t>$ch77</t>
  </si>
  <si>
    <t>$ch77$cross_group</t>
  </si>
  <si>
    <t>mean -0.04109728 -0.0564407333</t>
  </si>
  <si>
    <t>stat  1.71842031  3.3938943356</t>
  </si>
  <si>
    <t>p     0.08703163  0.0008086947</t>
  </si>
  <si>
    <t>$ch77$A</t>
  </si>
  <si>
    <t>mean 7.663374e-02 7.952839e-02</t>
  </si>
  <si>
    <t>stat 4.557283e+00 6.902823e+00</t>
  </si>
  <si>
    <t>p    6.080551e-06 1.139497e-10</t>
  </si>
  <si>
    <t>$ch77$V</t>
  </si>
  <si>
    <t>mean 0.03553646 0.02308766</t>
  </si>
  <si>
    <t>stat 2.08967209 1.92515567</t>
  </si>
  <si>
    <t>p    0.01945568 0.02837297</t>
  </si>
  <si>
    <t>$ch90</t>
  </si>
  <si>
    <t>$ch90$cross_group</t>
  </si>
  <si>
    <t>mean -0.05888231 -2.093179e-01</t>
  </si>
  <si>
    <t>stat  1.86629992  9.280613e+00</t>
  </si>
  <si>
    <t>p     0.06323479  1.119710e-17</t>
  </si>
  <si>
    <t>$ch90$A</t>
  </si>
  <si>
    <t>mean 9.782670e-02 1.959077e-01</t>
  </si>
  <si>
    <t>stat 4.240274e+00 1.167535e+01</t>
  </si>
  <si>
    <t>p    2.151869e-05 4.721129e-22</t>
  </si>
  <si>
    <t>$ch90$V</t>
  </si>
  <si>
    <t>mean 0.03894439 -0.01341019</t>
  </si>
  <si>
    <t>stat 1.80959242 -0.88978697</t>
  </si>
  <si>
    <t>p    0.03652047  0.81225624</t>
  </si>
  <si>
    <t>$ch91</t>
  </si>
  <si>
    <t>$ch91$cross_group</t>
  </si>
  <si>
    <t>mean  0.01704868 -0.09007647</t>
  </si>
  <si>
    <t>stat -0.35555317  2.56264400</t>
  </si>
  <si>
    <t>p     0.72249169  0.01100938</t>
  </si>
  <si>
    <t>$ch91$A</t>
  </si>
  <si>
    <t>mean 0.08021370 1.332024e-01</t>
  </si>
  <si>
    <t>stat 2.33249758 5.072715e+00</t>
  </si>
  <si>
    <t>p    0.01063648 6.904364e-07</t>
  </si>
  <si>
    <t>$ch91$V</t>
  </si>
  <si>
    <t>mean 0.09726238 0.04312598</t>
  </si>
  <si>
    <t>stat 2.91078129 1.84562967</t>
  </si>
  <si>
    <t>p    0.00217536 0.03379361</t>
  </si>
  <si>
    <t>$ch30$cross_group</t>
  </si>
  <si>
    <t>mean -5.391987e-01 -1.748315e-01</t>
  </si>
  <si>
    <t>stat  1.406825e+01  8.874776e+00</t>
  </si>
  <si>
    <t>p     8.077059e-32  1.343541e-16</t>
  </si>
  <si>
    <t>$ch30$A</t>
  </si>
  <si>
    <t>mean 5.915502e-01 2.112723e-01</t>
  </si>
  <si>
    <t>stat 1.777303e+01 1.473616e+01</t>
  </si>
  <si>
    <t>p    1.136019e-36 1.185008e-29</t>
  </si>
  <si>
    <t>$ch30$V</t>
  </si>
  <si>
    <t>mean 0.052351419 0.036440793</t>
  </si>
  <si>
    <t>stat 2.754616097 2.697221814</t>
  </si>
  <si>
    <t>p    0.003380643 0.003982608</t>
  </si>
  <si>
    <t>mean  0.007080491 -0.1003275</t>
  </si>
  <si>
    <t>stat -0.176661096  1.6080435</t>
  </si>
  <si>
    <t>p     0.859916993  0.1090844</t>
  </si>
  <si>
    <t>mean 0.07251912 0.109993148</t>
  </si>
  <si>
    <t>stat 2.61606577 2.389717968</t>
  </si>
  <si>
    <t>p    0.00498225 0.009159814</t>
  </si>
  <si>
    <t>mean 0.07959961 0.009665684</t>
  </si>
  <si>
    <t>stat 2.74983512 0.229479791</t>
  </si>
  <si>
    <t>p    0.00342743 0.409437058</t>
  </si>
  <si>
    <t>$ch58</t>
  </si>
  <si>
    <t>$ch58$cross_group</t>
  </si>
  <si>
    <t>mean -0.1267614052 -0.142337684</t>
  </si>
  <si>
    <t>stat  3.3855968806  3.010532224</t>
  </si>
  <si>
    <t>p     0.0008249691  0.002891709</t>
  </si>
  <si>
    <t>$ch58$A</t>
  </si>
  <si>
    <t>mean 1.796305e-01 1.788559e-01</t>
  </si>
  <si>
    <t>stat 6.411209e+00 4.730046e+00</t>
  </si>
  <si>
    <t>p    1.268813e-09 2.919418e-06</t>
  </si>
  <si>
    <t>$ch58$V</t>
  </si>
  <si>
    <t>mean 0.05286914 0.03651821</t>
  </si>
  <si>
    <t>stat 2.12871302 1.28662809</t>
  </si>
  <si>
    <t>p    0.01762804 0.10031042</t>
  </si>
  <si>
    <t>$ch71</t>
  </si>
  <si>
    <t>$ch71$cross_group</t>
  </si>
  <si>
    <t>mean -6.566991e-01 -2.404374e-01</t>
  </si>
  <si>
    <t>stat  1.418727e+01  7.003303e+00</t>
  </si>
  <si>
    <t>p     3.675034e-32  2.836751e-11</t>
  </si>
  <si>
    <t>$ch71$A</t>
  </si>
  <si>
    <t>mean 7.397897e-01 3.026364e-01</t>
  </si>
  <si>
    <t>stat 1.837929e+01 1.070252e+01</t>
  </si>
  <si>
    <t>p    5.149347e-38 8.721069e-20</t>
  </si>
  <si>
    <t>$ch71$V</t>
  </si>
  <si>
    <t>mean 0.083090516 0.0621990053</t>
  </si>
  <si>
    <t>stat 3.635357134 3.1945678505</t>
  </si>
  <si>
    <t>p    0.000202628 0.0008879657</t>
  </si>
  <si>
    <t>$ch125</t>
  </si>
  <si>
    <t>$ch125$cross_group</t>
  </si>
  <si>
    <t>mean -7.630166e-01 -3.216319e-01</t>
  </si>
  <si>
    <t>stat  1.644244e+01  1.479478e+01</t>
  </si>
  <si>
    <t>p     3.604641e-37  2.469023e-35</t>
  </si>
  <si>
    <t>$ch125$A</t>
  </si>
  <si>
    <t>mean 8.321130e-01 3.148515e-01</t>
  </si>
  <si>
    <t>stat 1.948722e+01 1.790736e+01</t>
  </si>
  <si>
    <t>p    2.033139e-40 5.701034e-37</t>
  </si>
  <si>
    <t>$ch125$V</t>
  </si>
  <si>
    <t>mean 0.0690964471 -0.006780398</t>
  </si>
  <si>
    <t>stat 3.8029214982 -0.530313138</t>
  </si>
  <si>
    <t>p    0.0001116187  0.701578383</t>
  </si>
  <si>
    <t>$ch126</t>
  </si>
  <si>
    <t>$ch126$cross_group</t>
  </si>
  <si>
    <t>mean -4.898184e-01 -2.454666e-01</t>
  </si>
  <si>
    <t>stat  9.874227e+00  5.271330e+00</t>
  </si>
  <si>
    <t>p     4.733428e-19  3.000160e-07</t>
  </si>
  <si>
    <t>$ch126$A</t>
  </si>
  <si>
    <t>mean 5.707599e-01 2.445604e-01</t>
  </si>
  <si>
    <t>stat 1.329529e+01 6.723195e+00</t>
  </si>
  <si>
    <t>p    3.548641e-26 2.650408e-10</t>
  </si>
  <si>
    <t>$ch126$V</t>
  </si>
  <si>
    <t>mean 0.0809414508 -0.0009061922</t>
  </si>
  <si>
    <t>stat 3.2564988200 -0.0311695519</t>
  </si>
  <si>
    <t>p    0.0007274224  0.5124077820</t>
  </si>
  <si>
    <t>$ch127</t>
  </si>
  <si>
    <t>$ch127$cross_group</t>
  </si>
  <si>
    <t>mean -0.10436142 -2.754517e-01</t>
  </si>
  <si>
    <t>stat  2.21663759  4.240856e+00</t>
  </si>
  <si>
    <t>p     0.02754214  3.182518e-05</t>
  </si>
  <si>
    <t>$ch127$A</t>
  </si>
  <si>
    <t>mean 1.579572e-01 2.694170e-01</t>
  </si>
  <si>
    <t>stat 4.631539e+00 5.258220e+00</t>
  </si>
  <si>
    <t>p    4.399443e-06 2.961313e-07</t>
  </si>
  <si>
    <t>$ch127$V</t>
  </si>
  <si>
    <t>mean 0.05359579 -0.006034623</t>
  </si>
  <si>
    <t>stat 1.65126282 -0.151173542</t>
  </si>
  <si>
    <t>p    0.05060765  0.559957759</t>
  </si>
  <si>
    <t>$ch251</t>
  </si>
  <si>
    <t>$ch251$cross_group</t>
  </si>
  <si>
    <t>mean -4.107868e-01 -4.674408e-01</t>
  </si>
  <si>
    <t>stat  1.039253e+01  9.670490e+00</t>
  </si>
  <si>
    <t>p     9.740252e-21  1.018471e-18</t>
  </si>
  <si>
    <t>$ch251$A</t>
  </si>
  <si>
    <t>mean 4.527162e-01 4.375371e-01</t>
  </si>
  <si>
    <t>stat 1.349961e+01 1.096062e+01</t>
  </si>
  <si>
    <t>p    1.128461e-26 2.003873e-20</t>
  </si>
  <si>
    <t>$ch251$V</t>
  </si>
  <si>
    <t>mean 0.04192941 -0.0299037</t>
  </si>
  <si>
    <t>stat 2.00400494 -1.0971194</t>
  </si>
  <si>
    <t>p    0.02362435  0.8626424</t>
  </si>
  <si>
    <r>
      <t>$ch120</t>
    </r>
    <r>
      <rPr>
        <sz val="12"/>
        <color rgb="FFC5060B"/>
        <rFont val="Courier New"/>
        <family val="1"/>
      </rPr>
      <t xml:space="preserve">                                                                           </t>
    </r>
  </si>
  <si>
    <t>$ch120$cross_group</t>
  </si>
  <si>
    <t>mean -3.842527e-01 -0.1558192695</t>
  </si>
  <si>
    <t>stat  5.215376e+00  3.5668667315</t>
  </si>
  <si>
    <t>p     1.858074e-06  0.0006636298</t>
  </si>
  <si>
    <t>$ch120$A</t>
  </si>
  <si>
    <t>mean 5.593959e-01 2.567479e-01</t>
  </si>
  <si>
    <t>stat 9.616772e+00 7.471920e+00</t>
  </si>
  <si>
    <t>p    8.730820e-12 3.985336e-09</t>
  </si>
  <si>
    <t>$ch120$V</t>
  </si>
  <si>
    <t>mean 0.1751432223 0.1009286077</t>
  </si>
  <si>
    <t>stat 3.8732985773 3.7415120385</t>
  </si>
  <si>
    <t>p    0.0002112924 0.0003095363</t>
  </si>
  <si>
    <t>$ch121</t>
  </si>
  <si>
    <t>$ch121$cross_group</t>
  </si>
  <si>
    <t>mean -4.886886e-01 -0.265266916</t>
  </si>
  <si>
    <t>stat  5.587484e+00  3.818183696</t>
  </si>
  <si>
    <t>p     4.813099e-07  0.000279801</t>
  </si>
  <si>
    <t>$ch121$A</t>
  </si>
  <si>
    <t>mean 6.664671e-01 3.494320e-01</t>
  </si>
  <si>
    <t>stat 9.357111e+00 7.280917e+00</t>
  </si>
  <si>
    <t>p    1.777763e-11 7.050425e-09</t>
  </si>
  <si>
    <t>$ch121$V</t>
  </si>
  <si>
    <t>mean 0.1777784859 0.08416511</t>
  </si>
  <si>
    <t>stat 3.5024722445 1.67547597</t>
  </si>
  <si>
    <t>p    0.0006112892 0.05113662</t>
  </si>
  <si>
    <r>
      <t>$ch118</t>
    </r>
    <r>
      <rPr>
        <sz val="12"/>
        <color rgb="FFC5060B"/>
        <rFont val="Courier New"/>
        <family val="1"/>
      </rPr>
      <t xml:space="preserve">                                                                           </t>
    </r>
  </si>
  <si>
    <t>$ch118$cross_group</t>
  </si>
  <si>
    <t>mean -0.06248703 -0.07238801</t>
  </si>
  <si>
    <t>stat  1.43050758  2.33070053</t>
  </si>
  <si>
    <t>p     0.15704994  0.02246026</t>
  </si>
  <si>
    <t>$ch118$A</t>
  </si>
  <si>
    <t>mean 0.1442587403 1.228291e-01</t>
  </si>
  <si>
    <t>stat 4.1062716815 5.519803e+00</t>
  </si>
  <si>
    <t>p    0.0001028782 1.296929e-06</t>
  </si>
  <si>
    <t>$ch118$V</t>
  </si>
  <si>
    <t>mean 0.081771708 0.05044106</t>
  </si>
  <si>
    <t>stat 3.150001690 2.32801530</t>
  </si>
  <si>
    <t>p    0.001613185 0.01274288</t>
  </si>
  <si>
    <r>
      <t>$ch14</t>
    </r>
    <r>
      <rPr>
        <sz val="12"/>
        <color rgb="FFC5060B"/>
        <rFont val="Courier New"/>
        <family val="1"/>
      </rPr>
      <t xml:space="preserve">                                                                            </t>
    </r>
  </si>
  <si>
    <t>$ch14$cross_group</t>
  </si>
  <si>
    <t>mean  0.01848267  0.007492726</t>
  </si>
  <si>
    <t>stat -0.56050761 -0.341542439</t>
  </si>
  <si>
    <t>p     0.57634066  0.733326265</t>
  </si>
  <si>
    <t>$ch14$A</t>
  </si>
  <si>
    <t>mean 0.02774845 0.040172721</t>
  </si>
  <si>
    <t>stat 1.47875721 2.859846125</t>
  </si>
  <si>
    <t>p    0.07221814 0.002911414</t>
  </si>
  <si>
    <t>$ch14$V</t>
  </si>
  <si>
    <t>mean 0.04623112 0.047665447</t>
  </si>
  <si>
    <t>stat 1.70499526 2.828677985</t>
  </si>
  <si>
    <t>p    0.04677332 0.003203905</t>
  </si>
  <si>
    <t>$ch16</t>
  </si>
  <si>
    <t>$ch16$cross_group</t>
  </si>
  <si>
    <t>mean -0.02505142 -0.01527264</t>
  </si>
  <si>
    <t>stat  0.90922113  0.82856532</t>
  </si>
  <si>
    <t>p     0.36511075  0.40902481</t>
  </si>
  <si>
    <t>$ch16$A</t>
  </si>
  <si>
    <t>mean 0.0599003253 0.0481530135</t>
  </si>
  <si>
    <t>stat 3.2352855971 3.7205795257</t>
  </si>
  <si>
    <t>p    0.0009894132 0.0002200214</t>
  </si>
  <si>
    <t>$ch16$V</t>
  </si>
  <si>
    <t>mean 0.03484891 0.03288037</t>
  </si>
  <si>
    <t>stat 1.70788443 2.50522767</t>
  </si>
  <si>
    <t>p    0.04650279 0.00753378</t>
  </si>
  <si>
    <t>$ch68</t>
  </si>
  <si>
    <t>$ch68$cross_group</t>
  </si>
  <si>
    <t>mean  0.01049768  0.006732317</t>
  </si>
  <si>
    <t>stat -0.26448906 -0.243776402</t>
  </si>
  <si>
    <t>p     0.79187233  0.807832362</t>
  </si>
  <si>
    <t>$ch68$A</t>
  </si>
  <si>
    <t>mean 0.05161242 0.03151314</t>
  </si>
  <si>
    <t>stat 1.71696911 1.52068562</t>
  </si>
  <si>
    <t>p    0.04557164 0.06679577</t>
  </si>
  <si>
    <t>$ch68$V</t>
  </si>
  <si>
    <t>mean 0.062110104 0.03824546</t>
  </si>
  <si>
    <t>stat 2.396459612 2.09507086</t>
  </si>
  <si>
    <t>p    0.009899479 0.02027084</t>
  </si>
  <si>
    <t>mean -0.2103795449 -2.944766e-01</t>
  </si>
  <si>
    <t>stat  4.6095082433  7.389400e+00</t>
  </si>
  <si>
    <t>p     0.0000109326  3.050412e-11</t>
  </si>
  <si>
    <t>mean 2.657184e-01 3.310122e-01</t>
  </si>
  <si>
    <t>stat 7.263429e+00 1.035840e+01</t>
  </si>
  <si>
    <t>p    4.441193e-10 2.770653e-15</t>
  </si>
  <si>
    <t>mean 0.05533884 0.03653564</t>
  </si>
  <si>
    <t>stat 2.02783708 1.53443650</t>
  </si>
  <si>
    <t>p    0.02358955 0.06517981</t>
  </si>
  <si>
    <t>$ch184</t>
  </si>
  <si>
    <t>$ch184$cross_group</t>
  </si>
  <si>
    <t>mean -0.2371127497 -4.590389e-01</t>
  </si>
  <si>
    <t>stat  3.8997495893  1.183512e+01</t>
  </si>
  <si>
    <t>p     0.0001692553  3.061154e-21</t>
  </si>
  <si>
    <t>$ch184$A</t>
  </si>
  <si>
    <t>mean 5.797339e-01 5.744351e-01</t>
  </si>
  <si>
    <t>stat 1.158855e+01 1.825593e+01</t>
  </si>
  <si>
    <t>p    3.005155e-17 1.771060e-26</t>
  </si>
  <si>
    <t>$ch184$V</t>
  </si>
  <si>
    <t>mean 3.426212e-01 1.153962e-01</t>
  </si>
  <si>
    <t>stat 9.914422e+00 5.088526e+00</t>
  </si>
  <si>
    <t>p    2.132060e-14 2.036971e-06</t>
  </si>
  <si>
    <r>
      <t>$ch22</t>
    </r>
    <r>
      <rPr>
        <sz val="12"/>
        <color rgb="FFC5060B"/>
        <rFont val="Courier New"/>
        <family val="1"/>
      </rPr>
      <t xml:space="preserve">                                                                            </t>
    </r>
  </si>
  <si>
    <t>$ch22$cross_group</t>
  </si>
  <si>
    <t>mean  0.0615528 -0.0259887</t>
  </si>
  <si>
    <t>stat -1.0219821  0.6379488</t>
  </si>
  <si>
    <t>p     0.3113753  0.5258782</t>
  </si>
  <si>
    <t>$ch22$A</t>
  </si>
  <si>
    <t>mean 0.04657316 0.087535363</t>
  </si>
  <si>
    <t>stat 1.36901099 3.141845246</t>
  </si>
  <si>
    <t>p    0.09026463 0.001802054</t>
  </si>
  <si>
    <t>$ch22$V</t>
  </si>
  <si>
    <t>mean 0.10812596 0.06154666</t>
  </si>
  <si>
    <t>stat 2.17553202 2.07081748</t>
  </si>
  <si>
    <t>p    0.01880027 0.02353763</t>
  </si>
  <si>
    <t>$ch135</t>
  </si>
  <si>
    <t>$ch135$cross_group</t>
  </si>
  <si>
    <t>mean -0.0229745 -0.01878923</t>
  </si>
  <si>
    <t>stat  0.3788016  0.43500441</t>
  </si>
  <si>
    <t>p     0.7061498  0.66509700</t>
  </si>
  <si>
    <t>$ch135$A</t>
  </si>
  <si>
    <t xml:space="preserve">          [,1]       [,2]</t>
  </si>
  <si>
    <t>mean 0.0902254 0.01073052</t>
  </si>
  <si>
    <t>stat 1.9548154 0.32525896</t>
  </si>
  <si>
    <t>p    0.0296940 0.37355113</t>
  </si>
  <si>
    <t>$ch135$V</t>
  </si>
  <si>
    <t>mean 0.06725089 -0.008058712</t>
  </si>
  <si>
    <t>stat 1.70919170 -0.289055157</t>
  </si>
  <si>
    <t>p    0.04887122  0.612736354</t>
  </si>
  <si>
    <t>type 1</t>
  </si>
  <si>
    <t>type 2</t>
  </si>
  <si>
    <t>$ch30</t>
  </si>
  <si>
    <r>
      <t>$ch68</t>
    </r>
    <r>
      <rPr>
        <sz val="12"/>
        <color rgb="FFC5060B"/>
        <rFont val="Courier New"/>
        <family val="1"/>
      </rPr>
      <t xml:space="preserve">                                                                                                                     </t>
    </r>
  </si>
  <si>
    <t>mean -0.001384752  0.01407549</t>
  </si>
  <si>
    <t>stat  0.048342226 -0.65525053</t>
  </si>
  <si>
    <t>p     0.961497285  0.51311813</t>
  </si>
  <si>
    <t>mean 0.03997399 0.037361901</t>
  </si>
  <si>
    <t>stat 2.20172039 2.613144369</t>
  </si>
  <si>
    <t>p    0.01498036 0.005170641</t>
  </si>
  <si>
    <t>mean 0.03858924 0.0514373880</t>
  </si>
  <si>
    <t>stat 1.74170250 3.2084948941</t>
  </si>
  <si>
    <t>p    0.04248857 0.0009245837</t>
  </si>
  <si>
    <t>mean -0.05698368 -0.00582515</t>
  </si>
  <si>
    <t>stat  1.87437394  0.30916197</t>
  </si>
  <si>
    <t>p     0.06243642  0.75755231</t>
  </si>
  <si>
    <t>mean 1.223094e-01 0.0409698083</t>
  </si>
  <si>
    <t>stat 5.944936e+00 3.3687253470</t>
  </si>
  <si>
    <t>p    1.990247e-08 0.0005350437</t>
  </si>
  <si>
    <t>mean 0.065325772 0.035144658</t>
  </si>
  <si>
    <t>stat 2.918627779 2.442123573</t>
  </si>
  <si>
    <t>p    0.002220272 0.008277908</t>
  </si>
  <si>
    <t>mean  0.05162872 -0.02023139</t>
  </si>
  <si>
    <t>stat -1.49622545  0.88818696</t>
  </si>
  <si>
    <t>p     0.13633049  0.37556656</t>
  </si>
  <si>
    <t>mean 0.077244255 0.045808450</t>
  </si>
  <si>
    <t>stat 3.473101819 2.892529991</t>
  </si>
  <si>
    <t>p    0.000379471 0.002340448</t>
  </si>
  <si>
    <t>mean 1.288730e-01 0.02557706</t>
  </si>
  <si>
    <t>stat 4.884871e+00 1.56223133</t>
  </si>
  <si>
    <t>p    2.236109e-06 0.06087156</t>
  </si>
  <si>
    <t>$ch128</t>
  </si>
  <si>
    <t>$ch128$cross_group</t>
  </si>
  <si>
    <t>mean  0.1323148939 -0.01667876</t>
  </si>
  <si>
    <t>stat -3.9182500723  0.67243322</t>
  </si>
  <si>
    <t>p     0.0001263265  0.50216513</t>
  </si>
  <si>
    <t>$ch128$A</t>
  </si>
  <si>
    <t>mean 9.401832e-02 1.131049e-01</t>
  </si>
  <si>
    <t>stat 4.340391e+00 7.105218e+00</t>
  </si>
  <si>
    <t>p    1.691236e-05 8.667682e-11</t>
  </si>
  <si>
    <t>$ch128$V</t>
  </si>
  <si>
    <t>mean 2.263332e-01 9.642612e-02</t>
  </si>
  <si>
    <t>stat 8.736672e+00 5.069322e+00</t>
  </si>
  <si>
    <t>p    6.076063e-14 1.060036e-06</t>
  </si>
  <si>
    <t>$ch129</t>
  </si>
  <si>
    <t>$ch129$cross_group</t>
  </si>
  <si>
    <t>mean -0.02167644 -1.241879e-01</t>
  </si>
  <si>
    <t>stat  0.57110417  4.769100e+00</t>
  </si>
  <si>
    <t>p     0.56860096  3.722877e-06</t>
  </si>
  <si>
    <t>$ch129$A</t>
  </si>
  <si>
    <t>mean 2.161240e-01 2.046975e-01</t>
  </si>
  <si>
    <t>stat 7.939983e+00 1.007993e+01</t>
  </si>
  <si>
    <t>p    1.450908e-12 2.991144e-17</t>
  </si>
  <si>
    <t>$ch129$V</t>
  </si>
  <si>
    <t>mean 1.944476e-01 8.050960e-02</t>
  </si>
  <si>
    <t>stat 7.351033e+00 4.939187e+00</t>
  </si>
  <si>
    <t>p    4.339278e-11 1.797466e-06</t>
  </si>
  <si>
    <t>$ch173</t>
  </si>
  <si>
    <t>$ch173$cross_group</t>
  </si>
  <si>
    <t>mean  0.08662529 -0.05144682</t>
  </si>
  <si>
    <t>stat -1.17590611  0.69412017</t>
  </si>
  <si>
    <t>p     0.24120097  0.48854178</t>
  </si>
  <si>
    <t>$ch173$A</t>
  </si>
  <si>
    <t>mean 0.06142564 0.1572220143</t>
  </si>
  <si>
    <t>stat 1.32668605 3.5147644139</t>
  </si>
  <si>
    <t>p    0.09380219 0.0003301976</t>
  </si>
  <si>
    <t>$ch173$V</t>
  </si>
  <si>
    <t>mean 0.148050933 0.10577519</t>
  </si>
  <si>
    <t>stat 2.583857385 1.78983500</t>
  </si>
  <si>
    <t>p    0.005690526 0.03842184</t>
  </si>
  <si>
    <r>
      <t>$ch78</t>
    </r>
    <r>
      <rPr>
        <sz val="12"/>
        <color rgb="FFC5060B"/>
        <rFont val="Courier New"/>
        <family val="1"/>
      </rPr>
      <t xml:space="preserve">                                                                                                                     </t>
    </r>
  </si>
  <si>
    <t>$ch78$cross_group</t>
  </si>
  <si>
    <t>mean -0.01147006 -0.007581971</t>
  </si>
  <si>
    <t>stat  0.43007527  0.393931572</t>
  </si>
  <si>
    <t>p     0.66762823  0.694080887</t>
  </si>
  <si>
    <t>$ch78$A</t>
  </si>
  <si>
    <t>mean 0.0700401508 0.02647328</t>
  </si>
  <si>
    <t>stat 3.4949869474 2.04162366</t>
  </si>
  <si>
    <t>p    0.0003527834 0.02189799</t>
  </si>
  <si>
    <t>$ch78$V</t>
  </si>
  <si>
    <t>mean 0.0585700951 0.01889131</t>
  </si>
  <si>
    <t>stat 3.3283091231 1.32817992</t>
  </si>
  <si>
    <t>p    0.0006335602 0.09373853</t>
  </si>
  <si>
    <t>$ch79</t>
  </si>
  <si>
    <t>$ch79$cross_group</t>
  </si>
  <si>
    <t>mean  0.09061735 -0.07226334</t>
  </si>
  <si>
    <t>stat -1.21228005  0.95771595</t>
  </si>
  <si>
    <t>p     0.22712203  0.33958608</t>
  </si>
  <si>
    <t>$ch79$A</t>
  </si>
  <si>
    <t>mean 0.06160205 0.1641612697</t>
  </si>
  <si>
    <t>stat 1.41842896 3.7205707500</t>
  </si>
  <si>
    <t>p    0.07957193 0.0001634762</t>
  </si>
  <si>
    <t>$ch79$V</t>
  </si>
  <si>
    <t>mean 0.152219405 0.09189793</t>
  </si>
  <si>
    <t>stat 2.502016844 1.50139253</t>
  </si>
  <si>
    <t>p    0.007077815 0.06837723</t>
  </si>
  <si>
    <t>$ch130</t>
  </si>
  <si>
    <t>$ch130$cross_group</t>
  </si>
  <si>
    <t>mean -1.814272e-01 -2.153408e-01</t>
  </si>
  <si>
    <t>stat  4.384274e+00  6.973243e+00</t>
  </si>
  <si>
    <t>p     1.990407e-05  5.755508e-11</t>
  </si>
  <si>
    <t>$ch130$A</t>
  </si>
  <si>
    <t>mean 2.877267e-01 2.926782e-01</t>
  </si>
  <si>
    <t>stat 8.508987e+00 1.168805e+01</t>
  </si>
  <si>
    <t>p    8.462801e-14 8.949625e-21</t>
  </si>
  <si>
    <t>$ch130$V</t>
  </si>
  <si>
    <t>mean 0.1062994346 7.733740e-02</t>
  </si>
  <si>
    <t>stat 4.4563018949 4.279416e+00</t>
  </si>
  <si>
    <t>p    0.0000119707 2.333482e-05</t>
  </si>
  <si>
    <t>$ch131</t>
  </si>
  <si>
    <t>$ch131$cross_group</t>
  </si>
  <si>
    <t>mean -2.103550e-01 -2.936051e-01</t>
  </si>
  <si>
    <t>stat  4.130360e+00  8.319650e+00</t>
  </si>
  <si>
    <t>p     5.798548e-05  3.913226e-14</t>
  </si>
  <si>
    <t>$ch131$A</t>
  </si>
  <si>
    <t>mean 3.546197e-01 4.283620e-01</t>
  </si>
  <si>
    <t>stat 8.080028e+00 1.394194e+01</t>
  </si>
  <si>
    <t>p    7.232618e-13 1.414296e-25</t>
  </si>
  <si>
    <t>$ch131$V</t>
  </si>
  <si>
    <t>mean 1.442647e-01 1.347569e-01</t>
  </si>
  <si>
    <t>stat 5.583583e+00 7.761900e+00</t>
  </si>
  <si>
    <t>p    1.235282e-07 6.293111e-12</t>
  </si>
  <si>
    <t>mean -0.1105090657 -2.270234e-01</t>
  </si>
  <si>
    <t>stat  3.4529813669  8.661864e+00</t>
  </si>
  <si>
    <t>p     0.0006837649  3.616427e-15</t>
  </si>
  <si>
    <t>mean 1.880834e-01 2.891331e-01</t>
  </si>
  <si>
    <t>stat 7.770914e+00 1.309411e+01</t>
  </si>
  <si>
    <t>p    3.351184e-12 8.542372e-24</t>
  </si>
  <si>
    <t>mean 0.0775743146 0.0621097296</t>
  </si>
  <si>
    <t>stat 3.7047692181 4.3988415615</t>
  </si>
  <si>
    <t>p    0.0001824023 0.0000148941</t>
  </si>
  <si>
    <t>$ch154</t>
  </si>
  <si>
    <t>$ch154$cross_group</t>
  </si>
  <si>
    <t>mean -0.01554372 -0.01140803</t>
  </si>
  <si>
    <t>stat  0.61389253  0.62478221</t>
  </si>
  <si>
    <t>p     0.54002623  0.53288174</t>
  </si>
  <si>
    <t>$ch154$A</t>
  </si>
  <si>
    <t>mean 0.048797284 0.02521714</t>
  </si>
  <si>
    <t>stat 2.804896654 2.07526364</t>
  </si>
  <si>
    <t>p    0.003019069 0.02025167</t>
  </si>
  <si>
    <t>$ch154$V</t>
  </si>
  <si>
    <t>mean 0.03325356 0.01380911</t>
  </si>
  <si>
    <t>stat 1.80758595 1.01322856</t>
  </si>
  <si>
    <t>p    0.03700588 0.15683362</t>
  </si>
  <si>
    <t>$ch155</t>
  </si>
  <si>
    <t>$ch155$cross_group</t>
  </si>
  <si>
    <t>mean  0.01121148  0.001961076</t>
  </si>
  <si>
    <t>stat -0.39536158 -0.111750588</t>
  </si>
  <si>
    <t>p     0.69302166  0.911144542</t>
  </si>
  <si>
    <t>$ch155$A</t>
  </si>
  <si>
    <t>mean 0.063035681 0.02549043</t>
  </si>
  <si>
    <t>stat 3.211797203 2.25301744</t>
  </si>
  <si>
    <t>p    0.000884953 0.01321021</t>
  </si>
  <si>
    <t>$ch155$V</t>
  </si>
  <si>
    <t>mean 0.0742471626 0.02745151</t>
  </si>
  <si>
    <t>stat 3.6273907445 2.04638780</t>
  </si>
  <si>
    <t>p    0.0002372375 0.02181781</t>
  </si>
  <si>
    <t>elec 140 + 143 pure noise</t>
  </si>
  <si>
    <t>4, 30, 53, 54, 55, 70, 71, 122, 123, 124, 222, 223, 246, 247</t>
  </si>
  <si>
    <t>31, 43, 44, 45, 46, 77, 91</t>
  </si>
  <si>
    <t>20, 21</t>
  </si>
  <si>
    <t>32, 58, 125, 126, 127, 251</t>
  </si>
  <si>
    <t>20, 97, 98</t>
  </si>
  <si>
    <t>visual sustained</t>
  </si>
  <si>
    <t>visual transient</t>
  </si>
  <si>
    <t>200, 22</t>
  </si>
  <si>
    <t>181, 182, 183, 184, 16, 14, 68</t>
  </si>
  <si>
    <t>116, 117, 118</t>
  </si>
  <si>
    <t>120, 38, 106</t>
  </si>
  <si>
    <t>68, 77, 128, 129, 130, 131, 143, 155, 173</t>
  </si>
  <si>
    <t>31, 44, 158, 97</t>
  </si>
  <si>
    <t>133, 134, 135</t>
  </si>
  <si>
    <t>127, 78, 154, 79</t>
  </si>
  <si>
    <t>$ch137</t>
  </si>
  <si>
    <t>$ch137$cross_group</t>
  </si>
  <si>
    <t>mean -3.358750e-01 -3.943923e-01</t>
  </si>
  <si>
    <t>stat  8.895404e+00  1.559245e+01</t>
  </si>
  <si>
    <t>p     2.280557e-16  6.250906e-38</t>
  </si>
  <si>
    <t>$ch137$A</t>
  </si>
  <si>
    <t>mean 4.748091e-01 4.338319e-01</t>
  </si>
  <si>
    <t>stat 1.444026e+01 2.021173e+01</t>
  </si>
  <si>
    <t>p    1.118800e-29 2.236205e-43</t>
  </si>
  <si>
    <t>$ch137$V</t>
  </si>
  <si>
    <t>mean 1.389341e-01 0.039439638</t>
  </si>
  <si>
    <t>stat 7.485051e+00 2.947386576</t>
  </si>
  <si>
    <t>p    3.923862e-12 0.001884115</t>
  </si>
  <si>
    <t>$ch137$AV</t>
  </si>
  <si>
    <t>mean 6.044523e-01 5.696115e-01</t>
  </si>
  <si>
    <t>stat 1.681815e+01 2.306737e+01</t>
  </si>
  <si>
    <t>p    3.139077e-35 5.594057e-49</t>
  </si>
  <si>
    <t>$ch138</t>
  </si>
  <si>
    <t>$ch138$cross_group</t>
  </si>
  <si>
    <t>mean -1.655634e-01 -0.0907960114</t>
  </si>
  <si>
    <t>stat  4.756999e+00  3.8978755839</t>
  </si>
  <si>
    <t>p     3.216255e-06  0.0001233638</t>
  </si>
  <si>
    <t>$ch138$A</t>
  </si>
  <si>
    <t>mean 3.673580e-01 1.588491e-01</t>
  </si>
  <si>
    <t>stat 1.380680e+01 8.696425e+00</t>
  </si>
  <si>
    <t>p    4.418559e-28 4.523271e-15</t>
  </si>
  <si>
    <t>$ch138$V</t>
  </si>
  <si>
    <t>mean 2.017946e-01 6.805308e-02</t>
  </si>
  <si>
    <t>stat 8.994031e+00 4.707896e+00</t>
  </si>
  <si>
    <t>p    8.660308e-16 3.028555e-06</t>
  </si>
  <si>
    <t>$ch138$AV</t>
  </si>
  <si>
    <t>mean 4.810900e-01 2.291141e-01</t>
  </si>
  <si>
    <t>stat 1.809850e+01 1.345849e+01</t>
  </si>
  <si>
    <t>p    3.217651e-38 5.129158e-27</t>
  </si>
  <si>
    <t>$ch139</t>
  </si>
  <si>
    <t>$ch139$cross_group</t>
  </si>
  <si>
    <t>mean -3.120697e-01 -2.333636e-01</t>
  </si>
  <si>
    <t>stat  9.001966e+00  7.978204e+00</t>
  </si>
  <si>
    <t>p     5.425537e-17  6.051045e-14</t>
  </si>
  <si>
    <t>$ch139$A</t>
  </si>
  <si>
    <t>mean 4.041576e-01 2.421865e-01</t>
  </si>
  <si>
    <t>stat 1.448368e+01 9.957968e+00</t>
  </si>
  <si>
    <t>p    8.706187e-30 3.082995e-18</t>
  </si>
  <si>
    <t>$ch139$V</t>
  </si>
  <si>
    <t>mean 9.208790e-02 0.008822922</t>
  </si>
  <si>
    <t>stat 4.476738e+00 0.542945711</t>
  </si>
  <si>
    <t>p    7.906671e-06 0.294024713</t>
  </si>
  <si>
    <t>$ch139$AV</t>
  </si>
  <si>
    <t>mean 4.214468e-01 2.988943e-01</t>
  </si>
  <si>
    <t>stat 1.526588e+01 1.393602e+01</t>
  </si>
  <si>
    <t>p    1.703705e-31 3.275128e-28</t>
  </si>
  <si>
    <r>
      <t>$ch6</t>
    </r>
    <r>
      <rPr>
        <sz val="12"/>
        <color rgb="FFC5060B"/>
        <rFont val="Courier New"/>
        <family val="1"/>
      </rPr>
      <t xml:space="preserve">                                                                                                                                        </t>
    </r>
  </si>
  <si>
    <t>$ch6$cross_group</t>
  </si>
  <si>
    <t>mean  0.04941317  0.02316575</t>
  </si>
  <si>
    <t>stat -2.22428006 -1.24043710</t>
  </si>
  <si>
    <t>p     0.02697957  0.21596451</t>
  </si>
  <si>
    <t>$ch6$A</t>
  </si>
  <si>
    <t>mean 0.02707223 0.02960613</t>
  </si>
  <si>
    <t>stat 1.56062440 1.96545716</t>
  </si>
  <si>
    <t>p    0.06045139 0.02568461</t>
  </si>
  <si>
    <t>$ch6$V</t>
  </si>
  <si>
    <t>mean 7.648540e-02 5.277187e-02</t>
  </si>
  <si>
    <t>stat 5.511226e+00 4.780241e+00</t>
  </si>
  <si>
    <t>p    8.551447e-08 2.228489e-06</t>
  </si>
  <si>
    <t>$ch6$AV</t>
  </si>
  <si>
    <t>mean 0.0749620883 0.0497472631</t>
  </si>
  <si>
    <t>stat 3.5571804879 3.4751937589</t>
  </si>
  <si>
    <t>p    0.0002588538 0.0003434212</t>
  </si>
  <si>
    <t>mean  0.03617266 -0.01672765</t>
  </si>
  <si>
    <t>stat -1.24297807  0.49274911</t>
  </si>
  <si>
    <t>p     0.21499598  0.62263170</t>
  </si>
  <si>
    <t>mean 0.03865305 0.05116106</t>
  </si>
  <si>
    <t>stat 1.68379917 1.83064875</t>
  </si>
  <si>
    <t>p    0.04724059 0.03465516</t>
  </si>
  <si>
    <t>mean 7.482571e-02 0.03443341</t>
  </si>
  <si>
    <t>stat 4.183325e+00 1.78671423</t>
  </si>
  <si>
    <t>p    2.550776e-05 0.03809756</t>
  </si>
  <si>
    <t>$ch91$AV</t>
  </si>
  <si>
    <t>mean 0.0899396873 0.075099478</t>
  </si>
  <si>
    <t>stat 4.3466632132 2.677513290</t>
  </si>
  <si>
    <t>p    0.0000134979 0.004168782</t>
  </si>
  <si>
    <t>$ch92</t>
  </si>
  <si>
    <t>$ch92$cross_group</t>
  </si>
  <si>
    <t>mean  0.01733649  0.02188307</t>
  </si>
  <si>
    <t>stat -0.77160748 -1.49515297</t>
  </si>
  <si>
    <t>p     0.44101018  0.13603845</t>
  </si>
  <si>
    <t>$ch92$A</t>
  </si>
  <si>
    <t>mean 0.01344971 0.01471647</t>
  </si>
  <si>
    <t>stat 0.85922138 1.33976715</t>
  </si>
  <si>
    <t>p    0.19585423 0.09126155</t>
  </si>
  <si>
    <t>$ch92$V</t>
  </si>
  <si>
    <t>mean 0.03078620 0.0365995409</t>
  </si>
  <si>
    <t>stat 1.91007457 3.7838831003</t>
  </si>
  <si>
    <t>p    0.02910678 0.0001149907</t>
  </si>
  <si>
    <t>$ch92$AV</t>
  </si>
  <si>
    <t>mean 0.02838252 0.01780139</t>
  </si>
  <si>
    <t>stat 1.68901676 1.70364699</t>
  </si>
  <si>
    <t>p    0.04676231 0.04537395</t>
  </si>
  <si>
    <t>$ch101</t>
  </si>
  <si>
    <t>$ch101$cross_group</t>
  </si>
  <si>
    <t>mean -2.876708e-01 -3.990230e-01</t>
  </si>
  <si>
    <t>stat  9.312176e+00  2.125700e+01</t>
  </si>
  <si>
    <t>p     9.677786e-18  1.484047e-56</t>
  </si>
  <si>
    <t>$ch101$A</t>
  </si>
  <si>
    <t>mean 3.387622e-01 4.342304e-01</t>
  </si>
  <si>
    <t>stat 1.298320e+01 2.742797e+01</t>
  </si>
  <si>
    <t>p    5.486574e-26 5.012550e-58</t>
  </si>
  <si>
    <t>$ch101$V</t>
  </si>
  <si>
    <t>mean 0.051091430 0.0352074205</t>
  </si>
  <si>
    <t>stat 3.089372822 3.4908025680</t>
  </si>
  <si>
    <t>p    0.001214696 0.0003241911</t>
  </si>
  <si>
    <t>$ch101$AV</t>
  </si>
  <si>
    <t>mean 3.466741e-01 4.612060e-01</t>
  </si>
  <si>
    <t>stat 1.244556e+01 2.825471e+01</t>
  </si>
  <si>
    <t>p    1.840410e-24 7.736188e-59</t>
  </si>
  <si>
    <t>137, 138, 6, 91, 92, 101</t>
  </si>
  <si>
    <t>PAV083</t>
  </si>
  <si>
    <t>PAV084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</si>
</sst>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Display"/>
      <scheme val="major"/>
    </font>
    <font>
      <sz val="11"/>
      <color theme="1"/>
      <name val="Aptos Narrow"/>
      <scheme val="minor"/>
    </font>
    <font>
      <sz val="12"/>
      <color rgb="FF000000"/>
      <name val="Courier New"/>
      <family val="1"/>
    </font>
    <font>
      <sz val="12"/>
      <color rgb="FFC5060B"/>
      <name val="Courier New"/>
      <family val="1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2"/>
      <color theme="1"/>
      <name val="Courier New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right"/>
    </xf>
    <xf numFmtId="9" fontId="0" fillId="0" borderId="0" xfId="1" applyFont="1"/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3" fillId="0" borderId="0" xfId="0" applyFont="1"/>
    <xf numFmtId="0" fontId="5" fillId="0" borderId="1" xfId="0" applyFont="1" applyBorder="1" applyAlignment="1">
      <alignment horizontal="right" wrapText="1"/>
    </xf>
    <xf numFmtId="0" fontId="5" fillId="0" borderId="0" xfId="0" applyFont="1"/>
    <xf numFmtId="0" fontId="5" fillId="0" borderId="2" xfId="0" applyFont="1" applyBorder="1" applyAlignment="1">
      <alignment horizontal="right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right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7" fillId="2" borderId="0" xfId="0" applyFont="1" applyFill="1"/>
    <xf numFmtId="0" fontId="11" fillId="2" borderId="0" xfId="0" applyFont="1" applyFill="1"/>
    <xf numFmtId="0" fontId="7" fillId="3" borderId="0" xfId="0" applyFont="1" applyFill="1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2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86C4-8ED7-4FE9-9AC5-8D720567D670}">
  <dimension ref="A1:I29"/>
  <sheetViews>
    <sheetView topLeftCell="A2" workbookViewId="0">
      <selection activeCell="F18" sqref="F18"/>
    </sheetView>
  </sheetViews>
  <sheetFormatPr baseColWidth="10" defaultColWidth="8.83203125" defaultRowHeight="16" x14ac:dyDescent="0.2"/>
  <cols>
    <col min="1" max="4" width="8.83203125" style="5"/>
    <col min="5" max="5" width="13.33203125" style="5" customWidth="1"/>
    <col min="6" max="6" width="8.83203125" style="5"/>
    <col min="7" max="7" width="11.33203125" style="5" customWidth="1"/>
    <col min="8" max="9" width="15.1640625" style="5" customWidth="1"/>
    <col min="10" max="16384" width="8.83203125" style="5"/>
  </cols>
  <sheetData>
    <row r="1" spans="1:9" ht="33" thickBo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4" t="s">
        <v>65</v>
      </c>
      <c r="G1" s="4" t="s">
        <v>67</v>
      </c>
      <c r="H1" s="21" t="s">
        <v>1015</v>
      </c>
      <c r="I1" s="22" t="s">
        <v>1016</v>
      </c>
    </row>
    <row r="2" spans="1:9" ht="33" thickBot="1" x14ac:dyDescent="0.25">
      <c r="A2" s="3" t="s">
        <v>54</v>
      </c>
      <c r="B2" s="3" t="s">
        <v>24</v>
      </c>
      <c r="C2" s="3" t="s">
        <v>55</v>
      </c>
      <c r="D2" s="6">
        <v>1</v>
      </c>
      <c r="E2" s="6">
        <v>17</v>
      </c>
      <c r="F2" s="4" t="s">
        <v>71</v>
      </c>
      <c r="G2" s="7"/>
      <c r="H2" s="5">
        <v>96</v>
      </c>
      <c r="I2" s="20" t="s">
        <v>1014</v>
      </c>
    </row>
    <row r="3" spans="1:9" ht="33" thickBot="1" x14ac:dyDescent="0.25">
      <c r="A3" s="3" t="s">
        <v>51</v>
      </c>
      <c r="B3" s="3" t="s">
        <v>24</v>
      </c>
      <c r="C3" s="3" t="s">
        <v>52</v>
      </c>
      <c r="D3" s="6">
        <v>3</v>
      </c>
      <c r="E3" s="6" t="s">
        <v>53</v>
      </c>
      <c r="F3" s="4" t="s">
        <v>71</v>
      </c>
      <c r="G3" s="9" t="s">
        <v>72</v>
      </c>
      <c r="H3" s="20" t="s">
        <v>1012</v>
      </c>
      <c r="I3" s="5">
        <v>143</v>
      </c>
    </row>
    <row r="4" spans="1:9" ht="49" thickBot="1" x14ac:dyDescent="0.25">
      <c r="A4" s="3" t="s">
        <v>48</v>
      </c>
      <c r="B4" s="3" t="s">
        <v>24</v>
      </c>
      <c r="C4" s="3" t="s">
        <v>49</v>
      </c>
      <c r="D4" s="6">
        <v>4</v>
      </c>
      <c r="E4" s="6" t="s">
        <v>50</v>
      </c>
      <c r="F4" s="4" t="s">
        <v>71</v>
      </c>
      <c r="G4" s="9" t="s">
        <v>1009</v>
      </c>
      <c r="H4" s="24" t="s">
        <v>1140</v>
      </c>
      <c r="I4" s="5">
        <v>139</v>
      </c>
    </row>
    <row r="5" spans="1:9" ht="33" thickBot="1" x14ac:dyDescent="0.25">
      <c r="A5" s="3" t="s">
        <v>45</v>
      </c>
      <c r="B5" s="3" t="s">
        <v>24</v>
      </c>
      <c r="C5" s="3" t="s">
        <v>46</v>
      </c>
      <c r="D5" s="6">
        <v>4</v>
      </c>
      <c r="E5" s="6" t="s">
        <v>47</v>
      </c>
      <c r="F5" s="4" t="s">
        <v>71</v>
      </c>
      <c r="G5" s="7"/>
    </row>
    <row r="6" spans="1:9" ht="33" thickBot="1" x14ac:dyDescent="0.25">
      <c r="A6" s="3" t="s">
        <v>42</v>
      </c>
      <c r="B6" s="3" t="s">
        <v>21</v>
      </c>
      <c r="C6" s="3" t="s">
        <v>43</v>
      </c>
      <c r="D6" s="6">
        <v>4</v>
      </c>
      <c r="E6" s="6" t="s">
        <v>44</v>
      </c>
      <c r="F6" s="4" t="s">
        <v>71</v>
      </c>
      <c r="G6" s="7"/>
      <c r="H6" s="23" t="s">
        <v>1022</v>
      </c>
    </row>
    <row r="7" spans="1:9" ht="17" thickBot="1" x14ac:dyDescent="0.25">
      <c r="A7" s="3" t="s">
        <v>40</v>
      </c>
      <c r="B7" s="3" t="s">
        <v>21</v>
      </c>
      <c r="C7" s="3" t="s">
        <v>25</v>
      </c>
      <c r="D7" s="6">
        <v>2</v>
      </c>
      <c r="E7" s="6" t="s">
        <v>41</v>
      </c>
      <c r="F7" s="9" t="s">
        <v>69</v>
      </c>
      <c r="G7" s="7"/>
    </row>
    <row r="8" spans="1:9" ht="35" thickBot="1" x14ac:dyDescent="0.25">
      <c r="A8" s="3" t="s">
        <v>37</v>
      </c>
      <c r="B8" s="3" t="s">
        <v>24</v>
      </c>
      <c r="C8" s="3" t="s">
        <v>38</v>
      </c>
      <c r="D8" s="6">
        <v>3</v>
      </c>
      <c r="E8" s="6" t="s">
        <v>39</v>
      </c>
      <c r="F8" s="4" t="s">
        <v>71</v>
      </c>
      <c r="G8" s="7"/>
      <c r="H8" s="19" t="s">
        <v>1011</v>
      </c>
      <c r="I8" s="5">
        <v>90</v>
      </c>
    </row>
    <row r="9" spans="1:9" ht="69" thickBot="1" x14ac:dyDescent="0.25">
      <c r="A9" s="3" t="s">
        <v>34</v>
      </c>
      <c r="B9" s="3" t="s">
        <v>21</v>
      </c>
      <c r="C9" s="3" t="s">
        <v>35</v>
      </c>
      <c r="D9" s="6">
        <v>4</v>
      </c>
      <c r="E9" s="6" t="s">
        <v>36</v>
      </c>
      <c r="F9" s="4" t="s">
        <v>71</v>
      </c>
      <c r="G9" s="9"/>
      <c r="H9" s="19" t="s">
        <v>1010</v>
      </c>
      <c r="I9" s="19" t="s">
        <v>1013</v>
      </c>
    </row>
    <row r="10" spans="1:9" ht="52" thickBot="1" x14ac:dyDescent="0.25">
      <c r="A10" s="3" t="s">
        <v>31</v>
      </c>
      <c r="B10" s="3" t="s">
        <v>24</v>
      </c>
      <c r="C10" s="3" t="s">
        <v>32</v>
      </c>
      <c r="D10" s="6">
        <v>3</v>
      </c>
      <c r="E10" s="6" t="s">
        <v>33</v>
      </c>
      <c r="F10" s="26" t="s">
        <v>69</v>
      </c>
      <c r="G10" s="7"/>
      <c r="H10" s="24" t="s">
        <v>1021</v>
      </c>
      <c r="I10" s="23" t="s">
        <v>1024</v>
      </c>
    </row>
    <row r="11" spans="1:9" ht="33" thickBot="1" x14ac:dyDescent="0.25">
      <c r="A11" s="3" t="s">
        <v>29</v>
      </c>
      <c r="B11" s="3" t="s">
        <v>24</v>
      </c>
      <c r="C11" s="3" t="s">
        <v>43</v>
      </c>
      <c r="D11" s="6">
        <v>4</v>
      </c>
      <c r="E11" s="6" t="s">
        <v>30</v>
      </c>
      <c r="F11" s="4" t="s">
        <v>71</v>
      </c>
      <c r="G11" s="7"/>
      <c r="H11" s="23" t="s">
        <v>1020</v>
      </c>
      <c r="I11" s="5">
        <v>121</v>
      </c>
    </row>
    <row r="12" spans="1:9" ht="33" thickBot="1" x14ac:dyDescent="0.25">
      <c r="A12" s="3" t="s">
        <v>27</v>
      </c>
      <c r="B12" s="3" t="s">
        <v>24</v>
      </c>
      <c r="C12" s="3" t="s">
        <v>25</v>
      </c>
      <c r="D12" s="6">
        <v>2</v>
      </c>
      <c r="E12" s="6" t="s">
        <v>28</v>
      </c>
      <c r="F12" s="4" t="s">
        <v>71</v>
      </c>
      <c r="G12" s="7"/>
      <c r="H12" s="23" t="s">
        <v>1019</v>
      </c>
    </row>
    <row r="13" spans="1:9" ht="35" thickBot="1" x14ac:dyDescent="0.25">
      <c r="A13" s="3" t="s">
        <v>23</v>
      </c>
      <c r="B13" s="3" t="s">
        <v>24</v>
      </c>
      <c r="C13" s="3" t="s">
        <v>25</v>
      </c>
      <c r="D13" s="6">
        <v>2</v>
      </c>
      <c r="E13" s="6" t="s">
        <v>26</v>
      </c>
      <c r="F13" s="4" t="s">
        <v>71</v>
      </c>
      <c r="G13" s="7"/>
      <c r="H13" s="24" t="s">
        <v>1018</v>
      </c>
      <c r="I13" s="5">
        <v>126</v>
      </c>
    </row>
    <row r="14" spans="1:9" ht="33" thickBot="1" x14ac:dyDescent="0.25">
      <c r="A14" s="3" t="s">
        <v>20</v>
      </c>
      <c r="B14" s="3" t="s">
        <v>21</v>
      </c>
      <c r="C14" s="3" t="s">
        <v>22</v>
      </c>
      <c r="D14" s="6">
        <v>1</v>
      </c>
      <c r="E14" s="6">
        <v>6</v>
      </c>
      <c r="F14" s="4" t="s">
        <v>71</v>
      </c>
      <c r="G14" s="26"/>
    </row>
    <row r="15" spans="1:9" ht="17" thickBot="1" x14ac:dyDescent="0.25">
      <c r="A15" s="3" t="s">
        <v>56</v>
      </c>
      <c r="B15" s="3" t="s">
        <v>21</v>
      </c>
      <c r="C15" s="3" t="s">
        <v>70</v>
      </c>
      <c r="D15" s="3">
        <v>2</v>
      </c>
      <c r="E15" s="6" t="s">
        <v>57</v>
      </c>
      <c r="F15" s="4" t="s">
        <v>69</v>
      </c>
      <c r="G15" s="7" t="s">
        <v>68</v>
      </c>
      <c r="H15" s="23" t="s">
        <v>1017</v>
      </c>
      <c r="I15" s="23" t="s">
        <v>1023</v>
      </c>
    </row>
    <row r="16" spans="1:9" x14ac:dyDescent="0.2">
      <c r="A16" s="4" t="s">
        <v>1141</v>
      </c>
      <c r="B16" s="9" t="s">
        <v>21</v>
      </c>
      <c r="C16" s="9" t="s">
        <v>22</v>
      </c>
      <c r="D16" s="8">
        <v>1</v>
      </c>
      <c r="E16" s="25">
        <v>26</v>
      </c>
      <c r="F16" s="9" t="s">
        <v>69</v>
      </c>
      <c r="G16" s="7"/>
      <c r="I16" s="20"/>
    </row>
    <row r="17" spans="1:9" x14ac:dyDescent="0.2">
      <c r="A17" s="4" t="s">
        <v>1142</v>
      </c>
      <c r="B17" s="9" t="s">
        <v>21</v>
      </c>
      <c r="C17" s="9" t="s">
        <v>22</v>
      </c>
      <c r="D17" s="8">
        <v>1</v>
      </c>
      <c r="E17" s="25">
        <v>53</v>
      </c>
      <c r="F17" s="9" t="s">
        <v>69</v>
      </c>
      <c r="G17" s="7"/>
      <c r="I17" s="20"/>
    </row>
    <row r="18" spans="1:9" x14ac:dyDescent="0.2">
      <c r="A18" s="4"/>
      <c r="B18" s="9"/>
      <c r="C18" s="9"/>
      <c r="D18" s="8"/>
      <c r="E18" s="25"/>
      <c r="F18" s="9"/>
      <c r="G18" s="7"/>
      <c r="I18" s="20"/>
    </row>
    <row r="19" spans="1:9" x14ac:dyDescent="0.2">
      <c r="A19" s="4"/>
      <c r="B19" s="9"/>
      <c r="C19" s="9"/>
      <c r="D19" s="8"/>
      <c r="E19" s="25"/>
      <c r="F19" s="9"/>
      <c r="G19" s="7"/>
      <c r="I19" s="20"/>
    </row>
    <row r="20" spans="1:9" x14ac:dyDescent="0.2">
      <c r="A20" s="4"/>
      <c r="B20" s="9"/>
      <c r="C20" s="9"/>
      <c r="D20" s="8"/>
      <c r="E20" s="25"/>
      <c r="F20" s="9"/>
      <c r="G20" s="7"/>
      <c r="I20" s="20"/>
    </row>
    <row r="21" spans="1:9" x14ac:dyDescent="0.2">
      <c r="A21" s="4"/>
      <c r="B21" s="9"/>
      <c r="C21" s="9"/>
      <c r="D21" s="8"/>
      <c r="E21" s="25"/>
      <c r="F21" s="9"/>
      <c r="G21" s="7"/>
      <c r="I21" s="20"/>
    </row>
    <row r="22" spans="1:9" x14ac:dyDescent="0.2">
      <c r="A22" s="4"/>
      <c r="B22" s="9"/>
      <c r="C22" s="9"/>
      <c r="D22" s="8"/>
      <c r="E22" s="25"/>
      <c r="F22" s="9"/>
      <c r="G22" s="7"/>
      <c r="I22" s="20"/>
    </row>
    <row r="23" spans="1:9" x14ac:dyDescent="0.2">
      <c r="A23" s="4" t="s">
        <v>58</v>
      </c>
      <c r="B23" s="7"/>
      <c r="C23" s="7"/>
      <c r="D23" s="8">
        <v>1</v>
      </c>
      <c r="E23" s="7"/>
      <c r="F23" s="7" t="s">
        <v>66</v>
      </c>
      <c r="G23" s="7"/>
    </row>
    <row r="24" spans="1:9" x14ac:dyDescent="0.2">
      <c r="A24" s="4" t="s">
        <v>59</v>
      </c>
      <c r="B24" s="7"/>
      <c r="C24" s="7"/>
      <c r="D24" s="8">
        <v>6</v>
      </c>
      <c r="E24" s="7"/>
      <c r="F24" s="7" t="s">
        <v>66</v>
      </c>
      <c r="G24" s="7"/>
    </row>
    <row r="25" spans="1:9" x14ac:dyDescent="0.2">
      <c r="A25" s="4" t="s">
        <v>60</v>
      </c>
      <c r="B25" s="7"/>
      <c r="C25" s="7"/>
      <c r="D25" s="8">
        <v>8</v>
      </c>
      <c r="E25" s="7"/>
      <c r="F25" s="7" t="s">
        <v>66</v>
      </c>
      <c r="G25" s="7"/>
    </row>
    <row r="26" spans="1:9" x14ac:dyDescent="0.2">
      <c r="A26" s="4" t="s">
        <v>61</v>
      </c>
      <c r="B26" s="7"/>
      <c r="C26" s="7"/>
      <c r="D26" s="8">
        <v>4</v>
      </c>
      <c r="E26" s="7"/>
      <c r="F26" s="7" t="s">
        <v>66</v>
      </c>
      <c r="G26" s="7"/>
    </row>
    <row r="27" spans="1:9" x14ac:dyDescent="0.2">
      <c r="A27" s="4" t="s">
        <v>62</v>
      </c>
      <c r="B27" s="7"/>
      <c r="C27" s="7"/>
      <c r="D27" s="8">
        <v>4</v>
      </c>
      <c r="E27" s="7"/>
      <c r="F27" s="7" t="s">
        <v>66</v>
      </c>
      <c r="G27" s="7"/>
    </row>
    <row r="28" spans="1:9" x14ac:dyDescent="0.2">
      <c r="A28" s="4" t="s">
        <v>63</v>
      </c>
      <c r="B28" s="7"/>
      <c r="C28" s="7"/>
      <c r="D28" s="8">
        <v>3</v>
      </c>
      <c r="E28" s="7"/>
      <c r="F28" s="7" t="s">
        <v>66</v>
      </c>
      <c r="G28" s="7"/>
    </row>
    <row r="29" spans="1:9" x14ac:dyDescent="0.2">
      <c r="A29" s="4" t="s">
        <v>64</v>
      </c>
      <c r="B29" s="7"/>
      <c r="C29" s="7"/>
      <c r="D29" s="8">
        <v>8</v>
      </c>
      <c r="E29" s="7"/>
      <c r="F29" s="7" t="s">
        <v>66</v>
      </c>
      <c r="G29" s="7"/>
    </row>
  </sheetData>
  <sortState xmlns:xlrd2="http://schemas.microsoft.com/office/spreadsheetml/2017/richdata2" ref="A2:I15">
    <sortCondition ref="A2:A1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7D59-EED8-447C-AC57-C1A912DE4F24}">
  <dimension ref="A1:J39"/>
  <sheetViews>
    <sheetView workbookViewId="0">
      <selection activeCell="C21" sqref="C2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3</v>
      </c>
      <c r="E1" s="12" t="s">
        <v>172</v>
      </c>
      <c r="J1" s="12" t="s">
        <v>173</v>
      </c>
    </row>
    <row r="2" spans="1:10" ht="17" x14ac:dyDescent="0.25">
      <c r="A2" t="s">
        <v>2</v>
      </c>
      <c r="B2">
        <v>7</v>
      </c>
      <c r="C2" s="1" t="s">
        <v>6</v>
      </c>
      <c r="E2" s="14" t="s">
        <v>73</v>
      </c>
      <c r="J2" s="16" t="s">
        <v>516</v>
      </c>
    </row>
    <row r="3" spans="1:10" ht="17" x14ac:dyDescent="0.25">
      <c r="A3" t="s">
        <v>2</v>
      </c>
      <c r="B3">
        <v>17</v>
      </c>
      <c r="C3" s="1" t="s">
        <v>6</v>
      </c>
      <c r="E3" s="11" t="s">
        <v>74</v>
      </c>
      <c r="J3" s="11" t="s">
        <v>517</v>
      </c>
    </row>
    <row r="4" spans="1:10" ht="17" x14ac:dyDescent="0.25">
      <c r="A4" t="s">
        <v>2</v>
      </c>
      <c r="B4">
        <v>18</v>
      </c>
      <c r="C4" s="1" t="s">
        <v>4</v>
      </c>
      <c r="E4" s="11" t="s">
        <v>75</v>
      </c>
      <c r="J4" s="11" t="s">
        <v>127</v>
      </c>
    </row>
    <row r="5" spans="1:10" ht="17" x14ac:dyDescent="0.25">
      <c r="A5" t="s">
        <v>2</v>
      </c>
      <c r="B5">
        <v>19</v>
      </c>
      <c r="C5" s="1" t="s">
        <v>4</v>
      </c>
      <c r="E5" s="11" t="s">
        <v>76</v>
      </c>
      <c r="J5" s="11" t="s">
        <v>518</v>
      </c>
    </row>
    <row r="6" spans="1:10" ht="17" x14ac:dyDescent="0.25">
      <c r="A6" t="s">
        <v>2</v>
      </c>
      <c r="B6">
        <v>20</v>
      </c>
      <c r="C6" s="1" t="s">
        <v>5</v>
      </c>
      <c r="E6" s="11" t="s">
        <v>77</v>
      </c>
      <c r="J6" s="11" t="s">
        <v>519</v>
      </c>
    </row>
    <row r="7" spans="1:10" ht="17" x14ac:dyDescent="0.25">
      <c r="A7" t="s">
        <v>2</v>
      </c>
      <c r="B7">
        <v>30</v>
      </c>
      <c r="C7" s="1" t="s">
        <v>6</v>
      </c>
      <c r="E7" s="11" t="s">
        <v>78</v>
      </c>
      <c r="J7" s="11" t="s">
        <v>520</v>
      </c>
    </row>
    <row r="8" spans="1:10" x14ac:dyDescent="0.2">
      <c r="A8" t="s">
        <v>2</v>
      </c>
      <c r="B8">
        <v>31</v>
      </c>
      <c r="C8" s="1" t="s">
        <v>6</v>
      </c>
    </row>
    <row r="9" spans="1:10" ht="17" x14ac:dyDescent="0.25">
      <c r="A9" t="s">
        <v>2</v>
      </c>
      <c r="B9">
        <v>97</v>
      </c>
      <c r="C9" s="1" t="s">
        <v>5</v>
      </c>
      <c r="E9" s="11" t="s">
        <v>79</v>
      </c>
      <c r="J9" s="11" t="s">
        <v>521</v>
      </c>
    </row>
    <row r="10" spans="1:10" ht="17" x14ac:dyDescent="0.25">
      <c r="E10" s="11" t="s">
        <v>80</v>
      </c>
      <c r="J10" s="11" t="s">
        <v>80</v>
      </c>
    </row>
    <row r="11" spans="1:10" ht="17" x14ac:dyDescent="0.25">
      <c r="A11" t="s">
        <v>8</v>
      </c>
      <c r="B11">
        <v>21</v>
      </c>
      <c r="C11" s="1" t="s">
        <v>6</v>
      </c>
      <c r="E11" s="11" t="s">
        <v>81</v>
      </c>
      <c r="J11" s="11" t="s">
        <v>522</v>
      </c>
    </row>
    <row r="12" spans="1:10" ht="17" x14ac:dyDescent="0.25">
      <c r="A12" t="s">
        <v>8</v>
      </c>
      <c r="B12">
        <v>22</v>
      </c>
      <c r="C12" s="1" t="s">
        <v>6</v>
      </c>
      <c r="E12" s="11" t="s">
        <v>82</v>
      </c>
      <c r="J12" s="11" t="s">
        <v>523</v>
      </c>
    </row>
    <row r="13" spans="1:10" ht="17" x14ac:dyDescent="0.25">
      <c r="A13" t="s">
        <v>8</v>
      </c>
      <c r="B13">
        <v>63</v>
      </c>
      <c r="C13" s="1" t="s">
        <v>6</v>
      </c>
      <c r="E13" s="11" t="s">
        <v>83</v>
      </c>
      <c r="J13" s="11" t="s">
        <v>524</v>
      </c>
    </row>
    <row r="14" spans="1:10" x14ac:dyDescent="0.2">
      <c r="A14" t="s">
        <v>8</v>
      </c>
      <c r="B14">
        <v>64</v>
      </c>
      <c r="C14" s="1" t="s">
        <v>6</v>
      </c>
    </row>
    <row r="15" spans="1:10" ht="17" x14ac:dyDescent="0.25">
      <c r="A15" t="s">
        <v>8</v>
      </c>
      <c r="B15">
        <v>65</v>
      </c>
      <c r="C15" s="1" t="s">
        <v>6</v>
      </c>
      <c r="E15" s="11" t="s">
        <v>84</v>
      </c>
      <c r="J15" s="11" t="s">
        <v>525</v>
      </c>
    </row>
    <row r="16" spans="1:10" ht="17" x14ac:dyDescent="0.25">
      <c r="A16" t="s">
        <v>8</v>
      </c>
      <c r="B16">
        <v>66</v>
      </c>
      <c r="C16" s="1" t="s">
        <v>6</v>
      </c>
      <c r="E16" s="11" t="s">
        <v>85</v>
      </c>
      <c r="J16" s="11" t="s">
        <v>100</v>
      </c>
    </row>
    <row r="17" spans="1:10" ht="17" x14ac:dyDescent="0.25">
      <c r="A17" t="s">
        <v>8</v>
      </c>
      <c r="B17">
        <v>75</v>
      </c>
      <c r="C17" s="1" t="s">
        <v>6</v>
      </c>
      <c r="E17" s="11" t="s">
        <v>86</v>
      </c>
      <c r="J17" s="11" t="s">
        <v>526</v>
      </c>
    </row>
    <row r="18" spans="1:10" ht="17" x14ac:dyDescent="0.25">
      <c r="A18" t="s">
        <v>8</v>
      </c>
      <c r="B18">
        <v>76</v>
      </c>
      <c r="C18" s="1" t="s">
        <v>6</v>
      </c>
      <c r="E18" s="11" t="s">
        <v>87</v>
      </c>
      <c r="J18" s="11" t="s">
        <v>527</v>
      </c>
    </row>
    <row r="19" spans="1:10" ht="17" x14ac:dyDescent="0.25">
      <c r="A19" t="s">
        <v>8</v>
      </c>
      <c r="B19">
        <v>96</v>
      </c>
      <c r="C19" s="1" t="s">
        <v>5</v>
      </c>
      <c r="E19" s="11" t="s">
        <v>88</v>
      </c>
      <c r="J19" s="11" t="s">
        <v>528</v>
      </c>
    </row>
    <row r="20" spans="1:10" x14ac:dyDescent="0.2">
      <c r="A20" t="s">
        <v>8</v>
      </c>
      <c r="B20">
        <v>98</v>
      </c>
      <c r="C20" s="1" t="s">
        <v>5</v>
      </c>
    </row>
    <row r="21" spans="1:10" x14ac:dyDescent="0.2">
      <c r="A21" t="s">
        <v>8</v>
      </c>
      <c r="B21">
        <v>99</v>
      </c>
      <c r="C21" s="1" t="s">
        <v>4</v>
      </c>
    </row>
    <row r="22" spans="1:10" ht="17" x14ac:dyDescent="0.25">
      <c r="E22" s="15" t="s">
        <v>89</v>
      </c>
      <c r="J22" s="14" t="s">
        <v>529</v>
      </c>
    </row>
    <row r="23" spans="1:10" ht="17" x14ac:dyDescent="0.25">
      <c r="E23" s="11" t="s">
        <v>90</v>
      </c>
      <c r="J23" s="11" t="s">
        <v>530</v>
      </c>
    </row>
    <row r="24" spans="1:10" ht="17" x14ac:dyDescent="0.25">
      <c r="E24" s="11" t="s">
        <v>91</v>
      </c>
      <c r="J24" s="11" t="s">
        <v>477</v>
      </c>
    </row>
    <row r="25" spans="1:10" ht="17" x14ac:dyDescent="0.25">
      <c r="E25" s="11" t="s">
        <v>92</v>
      </c>
      <c r="J25" s="11" t="s">
        <v>531</v>
      </c>
    </row>
    <row r="26" spans="1:10" ht="17" x14ac:dyDescent="0.25">
      <c r="E26" s="11" t="s">
        <v>93</v>
      </c>
      <c r="J26" s="11" t="s">
        <v>532</v>
      </c>
    </row>
    <row r="27" spans="1:10" ht="17" x14ac:dyDescent="0.25">
      <c r="E27" s="11" t="s">
        <v>94</v>
      </c>
      <c r="J27" s="11" t="s">
        <v>533</v>
      </c>
    </row>
    <row r="29" spans="1:10" ht="17" x14ac:dyDescent="0.25">
      <c r="E29" s="11" t="s">
        <v>95</v>
      </c>
      <c r="J29" s="11" t="s">
        <v>534</v>
      </c>
    </row>
    <row r="30" spans="1:10" ht="17" x14ac:dyDescent="0.25">
      <c r="E30" s="11" t="s">
        <v>80</v>
      </c>
      <c r="J30" s="11" t="s">
        <v>85</v>
      </c>
    </row>
    <row r="31" spans="1:10" ht="17" x14ac:dyDescent="0.25">
      <c r="E31" s="11" t="s">
        <v>96</v>
      </c>
      <c r="J31" s="11" t="s">
        <v>535</v>
      </c>
    </row>
    <row r="32" spans="1:10" ht="17" x14ac:dyDescent="0.25">
      <c r="E32" s="11" t="s">
        <v>97</v>
      </c>
      <c r="J32" s="11" t="s">
        <v>536</v>
      </c>
    </row>
    <row r="33" spans="5:10" ht="17" x14ac:dyDescent="0.25">
      <c r="E33" s="11" t="s">
        <v>98</v>
      </c>
      <c r="J33" s="11" t="s">
        <v>537</v>
      </c>
    </row>
    <row r="35" spans="5:10" ht="17" x14ac:dyDescent="0.25">
      <c r="E35" s="11" t="s">
        <v>99</v>
      </c>
      <c r="J35" s="11" t="s">
        <v>538</v>
      </c>
    </row>
    <row r="36" spans="5:10" ht="17" x14ac:dyDescent="0.25">
      <c r="E36" s="11" t="s">
        <v>100</v>
      </c>
      <c r="J36" s="11" t="s">
        <v>106</v>
      </c>
    </row>
    <row r="37" spans="5:10" ht="17" x14ac:dyDescent="0.25">
      <c r="E37" s="11" t="s">
        <v>101</v>
      </c>
      <c r="J37" s="11" t="s">
        <v>539</v>
      </c>
    </row>
    <row r="38" spans="5:10" ht="17" x14ac:dyDescent="0.25">
      <c r="E38" s="11" t="s">
        <v>102</v>
      </c>
      <c r="J38" s="11" t="s">
        <v>540</v>
      </c>
    </row>
    <row r="39" spans="5:10" ht="17" x14ac:dyDescent="0.25">
      <c r="E39" s="11" t="s">
        <v>103</v>
      </c>
      <c r="J39" s="11" t="s">
        <v>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9D7D-0486-4F2F-B28A-F73A00441BF7}">
  <dimension ref="A1:J59"/>
  <sheetViews>
    <sheetView workbookViewId="0">
      <selection activeCell="C30" sqref="C30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3</v>
      </c>
      <c r="E1" s="12" t="s">
        <v>172</v>
      </c>
      <c r="J1" s="12" t="s">
        <v>173</v>
      </c>
    </row>
    <row r="2" spans="1:10" ht="17" x14ac:dyDescent="0.25">
      <c r="A2" t="s">
        <v>2</v>
      </c>
      <c r="B2">
        <v>17</v>
      </c>
      <c r="C2" s="1" t="s">
        <v>6</v>
      </c>
      <c r="E2" s="14" t="s">
        <v>112</v>
      </c>
      <c r="F2" s="1"/>
      <c r="J2" s="16" t="s">
        <v>542</v>
      </c>
    </row>
    <row r="3" spans="1:10" ht="17" x14ac:dyDescent="0.25">
      <c r="A3" t="s">
        <v>2</v>
      </c>
      <c r="B3">
        <v>18</v>
      </c>
      <c r="C3" s="1" t="s">
        <v>6</v>
      </c>
      <c r="E3" s="11" t="s">
        <v>113</v>
      </c>
      <c r="F3" s="1"/>
      <c r="J3" s="11" t="s">
        <v>74</v>
      </c>
    </row>
    <row r="4" spans="1:10" ht="17" x14ac:dyDescent="0.25">
      <c r="A4" t="s">
        <v>2</v>
      </c>
      <c r="B4">
        <v>19</v>
      </c>
      <c r="C4" s="1" t="s">
        <v>4</v>
      </c>
      <c r="E4" s="11" t="s">
        <v>106</v>
      </c>
      <c r="F4" s="1"/>
      <c r="J4" s="11" t="s">
        <v>104</v>
      </c>
    </row>
    <row r="5" spans="1:10" ht="17" x14ac:dyDescent="0.25">
      <c r="A5" t="s">
        <v>2</v>
      </c>
      <c r="B5">
        <v>29</v>
      </c>
      <c r="C5" s="1" t="s">
        <v>4</v>
      </c>
      <c r="E5" s="11" t="s">
        <v>114</v>
      </c>
      <c r="F5" s="1"/>
      <c r="J5" s="11" t="s">
        <v>543</v>
      </c>
    </row>
    <row r="6" spans="1:10" ht="17" x14ac:dyDescent="0.25">
      <c r="A6" t="s">
        <v>2</v>
      </c>
      <c r="B6">
        <v>30</v>
      </c>
      <c r="C6" s="1" t="s">
        <v>4</v>
      </c>
      <c r="E6" s="11" t="s">
        <v>115</v>
      </c>
      <c r="F6" s="1"/>
      <c r="J6" s="11" t="s">
        <v>544</v>
      </c>
    </row>
    <row r="7" spans="1:10" ht="17" x14ac:dyDescent="0.25">
      <c r="A7" t="s">
        <v>2</v>
      </c>
      <c r="B7">
        <v>31</v>
      </c>
      <c r="C7" s="1" t="s">
        <v>7</v>
      </c>
      <c r="E7" s="11" t="s">
        <v>116</v>
      </c>
      <c r="F7" s="1"/>
      <c r="J7" s="11" t="s">
        <v>545</v>
      </c>
    </row>
    <row r="8" spans="1:10" x14ac:dyDescent="0.2">
      <c r="A8" t="s">
        <v>2</v>
      </c>
      <c r="B8">
        <v>32</v>
      </c>
      <c r="C8" s="1" t="s">
        <v>6</v>
      </c>
      <c r="F8" s="1"/>
    </row>
    <row r="9" spans="1:10" ht="17" x14ac:dyDescent="0.25">
      <c r="A9" t="s">
        <v>2</v>
      </c>
      <c r="B9">
        <v>42</v>
      </c>
      <c r="C9" s="1" t="s">
        <v>7</v>
      </c>
      <c r="E9" s="11" t="s">
        <v>117</v>
      </c>
      <c r="F9" s="1"/>
      <c r="J9" s="11" t="s">
        <v>79</v>
      </c>
    </row>
    <row r="10" spans="1:10" ht="17" x14ac:dyDescent="0.25">
      <c r="A10" t="s">
        <v>2</v>
      </c>
      <c r="B10">
        <v>43</v>
      </c>
      <c r="C10" s="1" t="s">
        <v>7</v>
      </c>
      <c r="E10" s="11" t="s">
        <v>105</v>
      </c>
      <c r="F10" s="1"/>
      <c r="J10" s="11" t="s">
        <v>80</v>
      </c>
    </row>
    <row r="11" spans="1:10" ht="17" x14ac:dyDescent="0.25">
      <c r="A11" t="s">
        <v>2</v>
      </c>
      <c r="B11">
        <v>141</v>
      </c>
      <c r="C11" s="1" t="s">
        <v>4</v>
      </c>
      <c r="E11" s="11" t="s">
        <v>118</v>
      </c>
      <c r="F11" s="1"/>
      <c r="J11" s="11" t="s">
        <v>546</v>
      </c>
    </row>
    <row r="12" spans="1:10" ht="17" x14ac:dyDescent="0.25">
      <c r="A12" t="s">
        <v>2</v>
      </c>
      <c r="B12">
        <v>142</v>
      </c>
      <c r="C12" s="1" t="s">
        <v>6</v>
      </c>
      <c r="E12" s="11" t="s">
        <v>119</v>
      </c>
      <c r="F12" s="1"/>
      <c r="J12" s="11" t="s">
        <v>547</v>
      </c>
    </row>
    <row r="13" spans="1:10" ht="17" x14ac:dyDescent="0.25">
      <c r="A13" t="s">
        <v>2</v>
      </c>
      <c r="B13">
        <v>143</v>
      </c>
      <c r="C13" s="1" t="s">
        <v>5</v>
      </c>
      <c r="E13" s="11" t="s">
        <v>120</v>
      </c>
      <c r="F13" s="1"/>
      <c r="J13" s="11" t="s">
        <v>548</v>
      </c>
    </row>
    <row r="14" spans="1:10" x14ac:dyDescent="0.2">
      <c r="C14" s="1"/>
      <c r="F14" s="1"/>
    </row>
    <row r="15" spans="1:10" ht="17" x14ac:dyDescent="0.25">
      <c r="A15" t="s">
        <v>8</v>
      </c>
      <c r="B15">
        <v>3</v>
      </c>
      <c r="C15" s="1" t="s">
        <v>4</v>
      </c>
      <c r="E15" s="11" t="s">
        <v>121</v>
      </c>
      <c r="F15" s="1"/>
      <c r="J15" s="11" t="s">
        <v>84</v>
      </c>
    </row>
    <row r="16" spans="1:10" ht="17" x14ac:dyDescent="0.25">
      <c r="A16" t="s">
        <v>8</v>
      </c>
      <c r="B16">
        <v>4</v>
      </c>
      <c r="C16" s="1" t="s">
        <v>6</v>
      </c>
      <c r="E16" s="11" t="s">
        <v>122</v>
      </c>
      <c r="F16" s="1"/>
      <c r="J16" s="11" t="s">
        <v>80</v>
      </c>
    </row>
    <row r="17" spans="1:10" ht="17" x14ac:dyDescent="0.25">
      <c r="A17" t="s">
        <v>8</v>
      </c>
      <c r="B17">
        <v>5</v>
      </c>
      <c r="C17" s="1" t="s">
        <v>6</v>
      </c>
      <c r="E17" s="11" t="s">
        <v>123</v>
      </c>
      <c r="F17" s="1"/>
      <c r="J17" s="11" t="s">
        <v>549</v>
      </c>
    </row>
    <row r="18" spans="1:10" ht="17" x14ac:dyDescent="0.25">
      <c r="A18" t="s">
        <v>8</v>
      </c>
      <c r="B18">
        <v>6</v>
      </c>
      <c r="C18" s="1" t="s">
        <v>6</v>
      </c>
      <c r="E18" s="11" t="s">
        <v>124</v>
      </c>
      <c r="F18" s="1"/>
      <c r="J18" s="11" t="s">
        <v>550</v>
      </c>
    </row>
    <row r="19" spans="1:10" ht="17" x14ac:dyDescent="0.25">
      <c r="A19" t="s">
        <v>8</v>
      </c>
      <c r="B19">
        <v>20</v>
      </c>
      <c r="C19" s="1" t="s">
        <v>5</v>
      </c>
      <c r="E19" s="11" t="s">
        <v>125</v>
      </c>
      <c r="F19" s="1"/>
      <c r="J19" s="11" t="s">
        <v>551</v>
      </c>
    </row>
    <row r="20" spans="1:10" x14ac:dyDescent="0.2">
      <c r="A20" t="s">
        <v>8</v>
      </c>
      <c r="B20">
        <v>21</v>
      </c>
      <c r="C20" s="1" t="s">
        <v>5</v>
      </c>
      <c r="F20" s="1"/>
    </row>
    <row r="21" spans="1:10" x14ac:dyDescent="0.2">
      <c r="A21" t="s">
        <v>8</v>
      </c>
      <c r="B21">
        <v>22</v>
      </c>
      <c r="C21" s="1" t="s">
        <v>6</v>
      </c>
      <c r="F21" s="1"/>
    </row>
    <row r="22" spans="1:10" ht="17" x14ac:dyDescent="0.25">
      <c r="A22" t="s">
        <v>8</v>
      </c>
      <c r="B22">
        <v>23</v>
      </c>
      <c r="C22" s="1" t="s">
        <v>7</v>
      </c>
      <c r="E22" s="11"/>
      <c r="F22" s="1"/>
      <c r="J22" s="16" t="s">
        <v>552</v>
      </c>
    </row>
    <row r="23" spans="1:10" ht="17" x14ac:dyDescent="0.25">
      <c r="A23" t="s">
        <v>8</v>
      </c>
      <c r="B23">
        <v>71</v>
      </c>
      <c r="C23" s="1" t="s">
        <v>4</v>
      </c>
      <c r="E23" s="11"/>
      <c r="F23" s="1"/>
      <c r="J23" s="11" t="s">
        <v>553</v>
      </c>
    </row>
    <row r="24" spans="1:10" ht="17" x14ac:dyDescent="0.25">
      <c r="A24" t="s">
        <v>8</v>
      </c>
      <c r="B24">
        <v>72</v>
      </c>
      <c r="C24" s="1" t="s">
        <v>7</v>
      </c>
      <c r="E24" s="11"/>
      <c r="F24" s="1"/>
      <c r="J24" s="11" t="s">
        <v>104</v>
      </c>
    </row>
    <row r="25" spans="1:10" ht="17" x14ac:dyDescent="0.25">
      <c r="A25" t="s">
        <v>8</v>
      </c>
      <c r="B25">
        <v>73</v>
      </c>
      <c r="C25" s="1" t="s">
        <v>7</v>
      </c>
      <c r="E25" s="11"/>
      <c r="F25" s="1"/>
      <c r="J25" s="11" t="s">
        <v>554</v>
      </c>
    </row>
    <row r="26" spans="1:10" ht="17" x14ac:dyDescent="0.25">
      <c r="A26" t="s">
        <v>8</v>
      </c>
      <c r="B26">
        <v>81</v>
      </c>
      <c r="C26" s="1" t="s">
        <v>4</v>
      </c>
      <c r="E26" s="11"/>
      <c r="F26" s="1"/>
      <c r="J26" s="11" t="s">
        <v>555</v>
      </c>
    </row>
    <row r="27" spans="1:10" ht="17" x14ac:dyDescent="0.25">
      <c r="A27" t="s">
        <v>8</v>
      </c>
      <c r="B27">
        <v>82</v>
      </c>
      <c r="C27" s="1" t="s">
        <v>7</v>
      </c>
      <c r="E27" s="11"/>
      <c r="F27" s="1"/>
      <c r="J27" s="11" t="s">
        <v>556</v>
      </c>
    </row>
    <row r="28" spans="1:10" x14ac:dyDescent="0.2">
      <c r="A28" t="s">
        <v>8</v>
      </c>
      <c r="B28">
        <v>83</v>
      </c>
      <c r="C28" s="1" t="s">
        <v>7</v>
      </c>
      <c r="F28" s="1"/>
    </row>
    <row r="29" spans="1:10" ht="17" x14ac:dyDescent="0.25">
      <c r="A29" t="s">
        <v>8</v>
      </c>
      <c r="B29">
        <v>145</v>
      </c>
      <c r="C29" s="1" t="s">
        <v>7</v>
      </c>
      <c r="E29" s="11"/>
      <c r="F29" s="1"/>
      <c r="J29" s="11" t="s">
        <v>557</v>
      </c>
    </row>
    <row r="30" spans="1:10" ht="17" x14ac:dyDescent="0.25">
      <c r="A30" t="s">
        <v>8</v>
      </c>
      <c r="B30">
        <v>146</v>
      </c>
      <c r="C30" s="1" t="s">
        <v>7</v>
      </c>
      <c r="E30" s="11"/>
      <c r="F30" s="1"/>
      <c r="J30" s="11" t="s">
        <v>107</v>
      </c>
    </row>
    <row r="31" spans="1:10" ht="17" x14ac:dyDescent="0.25">
      <c r="E31" s="11"/>
      <c r="J31" s="11" t="s">
        <v>558</v>
      </c>
    </row>
    <row r="32" spans="1:10" ht="17" x14ac:dyDescent="0.25">
      <c r="E32" s="11"/>
      <c r="J32" s="11" t="s">
        <v>559</v>
      </c>
    </row>
    <row r="33" spans="5:10" ht="17" x14ac:dyDescent="0.25">
      <c r="E33" s="11"/>
      <c r="J33" s="11" t="s">
        <v>560</v>
      </c>
    </row>
    <row r="35" spans="5:10" ht="17" x14ac:dyDescent="0.25">
      <c r="E35" s="11"/>
      <c r="J35" s="11" t="s">
        <v>561</v>
      </c>
    </row>
    <row r="36" spans="5:10" ht="17" x14ac:dyDescent="0.25">
      <c r="E36" s="11"/>
      <c r="J36" s="11" t="s">
        <v>107</v>
      </c>
    </row>
    <row r="37" spans="5:10" ht="17" x14ac:dyDescent="0.25">
      <c r="E37" s="11"/>
      <c r="J37" s="11" t="s">
        <v>562</v>
      </c>
    </row>
    <row r="38" spans="5:10" ht="17" x14ac:dyDescent="0.25">
      <c r="E38" s="11"/>
      <c r="J38" s="11" t="s">
        <v>563</v>
      </c>
    </row>
    <row r="39" spans="5:10" ht="17" x14ac:dyDescent="0.25">
      <c r="E39" s="11"/>
      <c r="J39" s="11" t="s">
        <v>564</v>
      </c>
    </row>
    <row r="42" spans="5:10" ht="17" x14ac:dyDescent="0.25">
      <c r="E42" s="11"/>
      <c r="J42" s="11"/>
    </row>
    <row r="43" spans="5:10" ht="17" x14ac:dyDescent="0.25">
      <c r="E43" s="11"/>
      <c r="J43" s="11"/>
    </row>
    <row r="44" spans="5:10" ht="17" x14ac:dyDescent="0.25">
      <c r="E44" s="11"/>
      <c r="J44" s="11"/>
    </row>
    <row r="45" spans="5:10" ht="17" x14ac:dyDescent="0.25">
      <c r="E45" s="11"/>
      <c r="J45" s="11"/>
    </row>
    <row r="46" spans="5:10" ht="17" x14ac:dyDescent="0.25">
      <c r="E46" s="11"/>
      <c r="J46" s="11"/>
    </row>
    <row r="47" spans="5:10" ht="17" x14ac:dyDescent="0.25">
      <c r="E47" s="11"/>
      <c r="J47" s="11"/>
    </row>
    <row r="49" spans="5:10" ht="17" x14ac:dyDescent="0.25">
      <c r="E49" s="11"/>
      <c r="J49" s="11"/>
    </row>
    <row r="50" spans="5:10" ht="17" x14ac:dyDescent="0.25">
      <c r="E50" s="11"/>
      <c r="J50" s="11"/>
    </row>
    <row r="51" spans="5:10" ht="17" x14ac:dyDescent="0.25">
      <c r="E51" s="11"/>
      <c r="J51" s="11"/>
    </row>
    <row r="52" spans="5:10" ht="17" x14ac:dyDescent="0.25">
      <c r="E52" s="11"/>
      <c r="J52" s="11"/>
    </row>
    <row r="53" spans="5:10" ht="17" x14ac:dyDescent="0.25">
      <c r="E53" s="11"/>
      <c r="J53" s="11"/>
    </row>
    <row r="55" spans="5:10" ht="17" x14ac:dyDescent="0.25">
      <c r="E55" s="11"/>
      <c r="J55" s="11"/>
    </row>
    <row r="56" spans="5:10" ht="17" x14ac:dyDescent="0.25">
      <c r="E56" s="11"/>
      <c r="J56" s="11"/>
    </row>
    <row r="57" spans="5:10" ht="17" x14ac:dyDescent="0.25">
      <c r="E57" s="11"/>
      <c r="J57" s="11"/>
    </row>
    <row r="58" spans="5:10" ht="17" x14ac:dyDescent="0.25">
      <c r="E58" s="11"/>
      <c r="J58" s="11"/>
    </row>
    <row r="59" spans="5:10" ht="17" x14ac:dyDescent="0.25">
      <c r="E59" s="11"/>
      <c r="J5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4E10-55E5-4561-8FB4-7608DAE7D54E}">
  <dimension ref="A1:J103"/>
  <sheetViews>
    <sheetView workbookViewId="0">
      <selection activeCell="C19" sqref="C19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3</v>
      </c>
      <c r="E1" s="13" t="s">
        <v>172</v>
      </c>
      <c r="J1" s="13" t="s">
        <v>173</v>
      </c>
    </row>
    <row r="2" spans="1:10" ht="17" x14ac:dyDescent="0.25">
      <c r="A2" t="s">
        <v>2</v>
      </c>
      <c r="B2">
        <v>20</v>
      </c>
      <c r="C2" s="1" t="s">
        <v>6</v>
      </c>
      <c r="E2" s="16" t="s">
        <v>1025</v>
      </c>
      <c r="J2" s="16" t="s">
        <v>1076</v>
      </c>
    </row>
    <row r="3" spans="1:10" ht="17" x14ac:dyDescent="0.25">
      <c r="A3" t="s">
        <v>2</v>
      </c>
      <c r="B3">
        <v>31</v>
      </c>
      <c r="C3" s="1" t="s">
        <v>4</v>
      </c>
      <c r="E3" s="11" t="s">
        <v>1026</v>
      </c>
      <c r="J3" s="11" t="s">
        <v>1077</v>
      </c>
    </row>
    <row r="4" spans="1:10" ht="17" x14ac:dyDescent="0.25">
      <c r="A4" t="s">
        <v>2</v>
      </c>
      <c r="B4">
        <v>32</v>
      </c>
      <c r="C4" s="1" t="s">
        <v>6</v>
      </c>
      <c r="E4" s="11" t="s">
        <v>127</v>
      </c>
      <c r="J4" s="11" t="s">
        <v>106</v>
      </c>
    </row>
    <row r="5" spans="1:10" ht="17" x14ac:dyDescent="0.25">
      <c r="A5" t="s">
        <v>2</v>
      </c>
      <c r="B5">
        <v>33</v>
      </c>
      <c r="C5" s="1" t="s">
        <v>6</v>
      </c>
      <c r="E5" s="11" t="s">
        <v>1027</v>
      </c>
      <c r="J5" s="11" t="s">
        <v>1078</v>
      </c>
    </row>
    <row r="6" spans="1:10" ht="17" x14ac:dyDescent="0.25">
      <c r="A6" t="s">
        <v>2</v>
      </c>
      <c r="B6">
        <v>44</v>
      </c>
      <c r="C6" s="1" t="s">
        <v>4</v>
      </c>
      <c r="E6" s="11" t="s">
        <v>1028</v>
      </c>
      <c r="J6" s="11" t="s">
        <v>1079</v>
      </c>
    </row>
    <row r="7" spans="1:10" ht="17" x14ac:dyDescent="0.25">
      <c r="A7" t="s">
        <v>2</v>
      </c>
      <c r="B7">
        <v>45</v>
      </c>
      <c r="C7" s="1" t="s">
        <v>4</v>
      </c>
      <c r="E7" s="11" t="s">
        <v>1029</v>
      </c>
      <c r="J7" s="11" t="s">
        <v>1080</v>
      </c>
    </row>
    <row r="8" spans="1:10" x14ac:dyDescent="0.2">
      <c r="A8" t="s">
        <v>2</v>
      </c>
      <c r="B8">
        <v>46</v>
      </c>
      <c r="C8" s="1" t="s">
        <v>4</v>
      </c>
    </row>
    <row r="9" spans="1:10" ht="17" x14ac:dyDescent="0.25">
      <c r="A9" t="s">
        <v>2</v>
      </c>
      <c r="B9">
        <v>127</v>
      </c>
      <c r="C9" s="1" t="s">
        <v>4</v>
      </c>
      <c r="E9" s="11" t="s">
        <v>1030</v>
      </c>
      <c r="J9" s="11" t="s">
        <v>1081</v>
      </c>
    </row>
    <row r="10" spans="1:10" ht="17" x14ac:dyDescent="0.25">
      <c r="A10" t="s">
        <v>2</v>
      </c>
      <c r="B10">
        <v>128</v>
      </c>
      <c r="C10" s="1" t="s">
        <v>6</v>
      </c>
      <c r="E10" s="11" t="s">
        <v>80</v>
      </c>
      <c r="J10" s="11" t="s">
        <v>107</v>
      </c>
    </row>
    <row r="11" spans="1:10" ht="17" x14ac:dyDescent="0.25">
      <c r="A11" t="s">
        <v>2</v>
      </c>
      <c r="B11">
        <v>137</v>
      </c>
      <c r="C11" s="1" t="s">
        <v>5</v>
      </c>
      <c r="E11" s="11" t="s">
        <v>1031</v>
      </c>
      <c r="J11" s="11" t="s">
        <v>1082</v>
      </c>
    </row>
    <row r="12" spans="1:10" ht="17" x14ac:dyDescent="0.25">
      <c r="A12" t="s">
        <v>2</v>
      </c>
      <c r="B12">
        <v>138</v>
      </c>
      <c r="C12" s="1" t="s">
        <v>5</v>
      </c>
      <c r="E12" s="11" t="s">
        <v>1032</v>
      </c>
      <c r="J12" s="11" t="s">
        <v>1083</v>
      </c>
    </row>
    <row r="13" spans="1:10" ht="17" x14ac:dyDescent="0.25">
      <c r="A13" t="s">
        <v>2</v>
      </c>
      <c r="B13">
        <v>139</v>
      </c>
      <c r="C13" s="1" t="s">
        <v>5</v>
      </c>
      <c r="E13" s="11" t="s">
        <v>1033</v>
      </c>
      <c r="J13" s="11" t="s">
        <v>1084</v>
      </c>
    </row>
    <row r="14" spans="1:10" x14ac:dyDescent="0.2">
      <c r="A14" t="s">
        <v>2</v>
      </c>
      <c r="B14">
        <v>140</v>
      </c>
      <c r="C14" s="1" t="s">
        <v>5</v>
      </c>
    </row>
    <row r="15" spans="1:10" ht="17" x14ac:dyDescent="0.25">
      <c r="C15" s="1"/>
      <c r="E15" s="11" t="s">
        <v>1034</v>
      </c>
      <c r="J15" s="11" t="s">
        <v>1085</v>
      </c>
    </row>
    <row r="16" spans="1:10" ht="17" x14ac:dyDescent="0.25">
      <c r="A16" t="s">
        <v>8</v>
      </c>
      <c r="B16">
        <v>5</v>
      </c>
      <c r="C16" s="1" t="s">
        <v>7</v>
      </c>
      <c r="E16" s="11" t="s">
        <v>85</v>
      </c>
      <c r="J16" s="11" t="s">
        <v>80</v>
      </c>
    </row>
    <row r="17" spans="1:10" ht="17" x14ac:dyDescent="0.25">
      <c r="A17" t="s">
        <v>8</v>
      </c>
      <c r="B17">
        <v>6</v>
      </c>
      <c r="C17" s="1" t="s">
        <v>5</v>
      </c>
      <c r="E17" s="11" t="s">
        <v>1035</v>
      </c>
      <c r="J17" s="11" t="s">
        <v>1086</v>
      </c>
    </row>
    <row r="18" spans="1:10" ht="17" x14ac:dyDescent="0.25">
      <c r="A18" t="s">
        <v>8</v>
      </c>
      <c r="B18">
        <v>88</v>
      </c>
      <c r="C18" s="1" t="s">
        <v>6</v>
      </c>
      <c r="E18" s="11" t="s">
        <v>1036</v>
      </c>
      <c r="J18" s="11" t="s">
        <v>1087</v>
      </c>
    </row>
    <row r="19" spans="1:10" ht="17" x14ac:dyDescent="0.25">
      <c r="A19" t="s">
        <v>8</v>
      </c>
      <c r="B19">
        <v>89</v>
      </c>
      <c r="C19" s="1" t="s">
        <v>7</v>
      </c>
      <c r="E19" s="11" t="s">
        <v>1037</v>
      </c>
      <c r="J19" s="11" t="s">
        <v>1088</v>
      </c>
    </row>
    <row r="20" spans="1:10" x14ac:dyDescent="0.2">
      <c r="A20" t="s">
        <v>8</v>
      </c>
      <c r="B20">
        <v>90</v>
      </c>
      <c r="C20" s="1" t="s">
        <v>4</v>
      </c>
    </row>
    <row r="21" spans="1:10" ht="17" x14ac:dyDescent="0.25">
      <c r="A21" t="s">
        <v>8</v>
      </c>
      <c r="B21">
        <v>91</v>
      </c>
      <c r="C21" s="1" t="s">
        <v>5</v>
      </c>
      <c r="E21" s="11" t="s">
        <v>1038</v>
      </c>
      <c r="J21" s="11" t="s">
        <v>1089</v>
      </c>
    </row>
    <row r="22" spans="1:10" ht="17" x14ac:dyDescent="0.25">
      <c r="A22" t="s">
        <v>8</v>
      </c>
      <c r="B22">
        <v>92</v>
      </c>
      <c r="C22" s="1" t="s">
        <v>5</v>
      </c>
      <c r="E22" s="11" t="s">
        <v>80</v>
      </c>
      <c r="J22" s="11" t="s">
        <v>80</v>
      </c>
    </row>
    <row r="23" spans="1:10" ht="17" x14ac:dyDescent="0.25">
      <c r="A23" t="s">
        <v>8</v>
      </c>
      <c r="B23">
        <v>99</v>
      </c>
      <c r="C23" s="1" t="s">
        <v>4</v>
      </c>
      <c r="E23" s="11" t="s">
        <v>1039</v>
      </c>
      <c r="J23" s="11" t="s">
        <v>1090</v>
      </c>
    </row>
    <row r="24" spans="1:10" ht="17" x14ac:dyDescent="0.25">
      <c r="A24" t="s">
        <v>8</v>
      </c>
      <c r="B24">
        <v>100</v>
      </c>
      <c r="C24" s="1" t="s">
        <v>4</v>
      </c>
      <c r="E24" s="11" t="s">
        <v>1040</v>
      </c>
      <c r="J24" s="11" t="s">
        <v>1091</v>
      </c>
    </row>
    <row r="25" spans="1:10" ht="17" x14ac:dyDescent="0.25">
      <c r="A25" t="s">
        <v>8</v>
      </c>
      <c r="B25">
        <v>101</v>
      </c>
      <c r="C25" s="1" t="s">
        <v>5</v>
      </c>
      <c r="E25" s="11" t="s">
        <v>1041</v>
      </c>
      <c r="J25" s="11" t="s">
        <v>1092</v>
      </c>
    </row>
    <row r="26" spans="1:10" x14ac:dyDescent="0.2">
      <c r="A26" t="s">
        <v>8</v>
      </c>
      <c r="B26">
        <v>103</v>
      </c>
      <c r="C26" s="1" t="s">
        <v>4</v>
      </c>
    </row>
    <row r="27" spans="1:10" x14ac:dyDescent="0.2">
      <c r="A27" t="s">
        <v>8</v>
      </c>
      <c r="B27">
        <v>104</v>
      </c>
      <c r="C27" s="1" t="s">
        <v>4</v>
      </c>
    </row>
    <row r="28" spans="1:10" ht="17" x14ac:dyDescent="0.25">
      <c r="A28" t="s">
        <v>8</v>
      </c>
      <c r="B28">
        <v>141</v>
      </c>
      <c r="C28" s="1" t="s">
        <v>4</v>
      </c>
      <c r="E28" s="16" t="s">
        <v>1042</v>
      </c>
      <c r="J28" s="16" t="s">
        <v>613</v>
      </c>
    </row>
    <row r="29" spans="1:10" ht="17" x14ac:dyDescent="0.25">
      <c r="A29" t="s">
        <v>8</v>
      </c>
      <c r="B29">
        <v>142</v>
      </c>
      <c r="C29" s="1" t="s">
        <v>4</v>
      </c>
      <c r="E29" s="11" t="s">
        <v>1043</v>
      </c>
      <c r="J29" s="11" t="s">
        <v>614</v>
      </c>
    </row>
    <row r="30" spans="1:10" ht="17" x14ac:dyDescent="0.25">
      <c r="A30" t="s">
        <v>8</v>
      </c>
      <c r="B30">
        <v>143</v>
      </c>
      <c r="C30" s="1" t="s">
        <v>4</v>
      </c>
      <c r="E30" s="11" t="s">
        <v>127</v>
      </c>
      <c r="J30" s="11" t="s">
        <v>106</v>
      </c>
    </row>
    <row r="31" spans="1:10" ht="17" x14ac:dyDescent="0.25">
      <c r="A31" t="s">
        <v>8</v>
      </c>
      <c r="B31">
        <v>148</v>
      </c>
      <c r="C31" s="1" t="s">
        <v>4</v>
      </c>
      <c r="E31" s="11" t="s">
        <v>1044</v>
      </c>
      <c r="J31" s="11" t="s">
        <v>1093</v>
      </c>
    </row>
    <row r="32" spans="1:10" ht="17" x14ac:dyDescent="0.25">
      <c r="A32" t="s">
        <v>8</v>
      </c>
      <c r="B32">
        <v>149</v>
      </c>
      <c r="C32" s="1" t="s">
        <v>4</v>
      </c>
      <c r="E32" s="11" t="s">
        <v>1045</v>
      </c>
      <c r="J32" s="11" t="s">
        <v>1094</v>
      </c>
    </row>
    <row r="33" spans="1:10" ht="17" x14ac:dyDescent="0.25">
      <c r="A33" t="s">
        <v>8</v>
      </c>
      <c r="B33">
        <v>150</v>
      </c>
      <c r="C33" s="1" t="s">
        <v>6</v>
      </c>
      <c r="E33" s="11" t="s">
        <v>1046</v>
      </c>
      <c r="J33" s="11" t="s">
        <v>1095</v>
      </c>
    </row>
    <row r="34" spans="1:10" x14ac:dyDescent="0.2">
      <c r="A34" t="s">
        <v>8</v>
      </c>
      <c r="B34">
        <v>151</v>
      </c>
      <c r="C34" s="1" t="s">
        <v>7</v>
      </c>
    </row>
    <row r="35" spans="1:10" ht="17" x14ac:dyDescent="0.25">
      <c r="A35" t="s">
        <v>8</v>
      </c>
      <c r="B35">
        <v>152</v>
      </c>
      <c r="C35" s="1" t="s">
        <v>7</v>
      </c>
      <c r="E35" s="11" t="s">
        <v>1047</v>
      </c>
      <c r="J35" s="11" t="s">
        <v>618</v>
      </c>
    </row>
    <row r="36" spans="1:10" ht="17" x14ac:dyDescent="0.25">
      <c r="E36" s="11" t="s">
        <v>80</v>
      </c>
      <c r="J36" s="11" t="s">
        <v>107</v>
      </c>
    </row>
    <row r="37" spans="1:10" ht="17" x14ac:dyDescent="0.25">
      <c r="E37" s="11" t="s">
        <v>1048</v>
      </c>
      <c r="J37" s="11" t="s">
        <v>1096</v>
      </c>
    </row>
    <row r="38" spans="1:10" ht="17" x14ac:dyDescent="0.25">
      <c r="E38" s="11" t="s">
        <v>1049</v>
      </c>
      <c r="J38" s="11" t="s">
        <v>1097</v>
      </c>
    </row>
    <row r="39" spans="1:10" ht="17" x14ac:dyDescent="0.25">
      <c r="E39" s="11" t="s">
        <v>1050</v>
      </c>
      <c r="J39" s="11" t="s">
        <v>1098</v>
      </c>
    </row>
    <row r="41" spans="1:10" ht="17" x14ac:dyDescent="0.25">
      <c r="E41" s="11" t="s">
        <v>1051</v>
      </c>
      <c r="J41" s="11" t="s">
        <v>622</v>
      </c>
    </row>
    <row r="42" spans="1:10" ht="17" x14ac:dyDescent="0.25">
      <c r="E42" s="11" t="s">
        <v>80</v>
      </c>
      <c r="J42" s="11" t="s">
        <v>151</v>
      </c>
    </row>
    <row r="43" spans="1:10" ht="17" x14ac:dyDescent="0.25">
      <c r="E43" s="11" t="s">
        <v>1052</v>
      </c>
      <c r="J43" s="11" t="s">
        <v>1099</v>
      </c>
    </row>
    <row r="44" spans="1:10" ht="17" x14ac:dyDescent="0.25">
      <c r="E44" s="11" t="s">
        <v>1053</v>
      </c>
      <c r="J44" s="11" t="s">
        <v>1100</v>
      </c>
    </row>
    <row r="45" spans="1:10" ht="17" x14ac:dyDescent="0.25">
      <c r="E45" s="11" t="s">
        <v>1054</v>
      </c>
      <c r="J45" s="11" t="s">
        <v>1101</v>
      </c>
    </row>
    <row r="47" spans="1:10" ht="17" x14ac:dyDescent="0.25">
      <c r="E47" s="11" t="s">
        <v>1055</v>
      </c>
      <c r="J47" s="11" t="s">
        <v>1102</v>
      </c>
    </row>
    <row r="48" spans="1:10" ht="17" x14ac:dyDescent="0.25">
      <c r="E48" s="11" t="s">
        <v>80</v>
      </c>
      <c r="J48" s="11" t="s">
        <v>85</v>
      </c>
    </row>
    <row r="49" spans="5:10" ht="17" x14ac:dyDescent="0.25">
      <c r="E49" s="11" t="s">
        <v>1056</v>
      </c>
      <c r="J49" s="11" t="s">
        <v>1103</v>
      </c>
    </row>
    <row r="50" spans="5:10" ht="17" x14ac:dyDescent="0.25">
      <c r="E50" s="11" t="s">
        <v>1057</v>
      </c>
      <c r="J50" s="11" t="s">
        <v>1104</v>
      </c>
    </row>
    <row r="51" spans="5:10" ht="17" x14ac:dyDescent="0.25">
      <c r="E51" s="11" t="s">
        <v>1058</v>
      </c>
      <c r="J51" s="11" t="s">
        <v>1105</v>
      </c>
    </row>
    <row r="54" spans="5:10" ht="17" x14ac:dyDescent="0.25">
      <c r="E54" s="14" t="s">
        <v>1059</v>
      </c>
      <c r="J54" s="16" t="s">
        <v>1106</v>
      </c>
    </row>
    <row r="55" spans="5:10" ht="17" x14ac:dyDescent="0.25">
      <c r="E55" s="11" t="s">
        <v>1060</v>
      </c>
      <c r="J55" s="11" t="s">
        <v>1107</v>
      </c>
    </row>
    <row r="56" spans="5:10" ht="17" x14ac:dyDescent="0.25">
      <c r="E56" s="11" t="s">
        <v>127</v>
      </c>
      <c r="J56" s="11" t="s">
        <v>106</v>
      </c>
    </row>
    <row r="57" spans="5:10" ht="17" x14ac:dyDescent="0.25">
      <c r="E57" s="11" t="s">
        <v>1061</v>
      </c>
      <c r="J57" s="11" t="s">
        <v>1108</v>
      </c>
    </row>
    <row r="58" spans="5:10" ht="17" x14ac:dyDescent="0.25">
      <c r="E58" s="11" t="s">
        <v>1062</v>
      </c>
      <c r="J58" s="11" t="s">
        <v>1109</v>
      </c>
    </row>
    <row r="59" spans="5:10" ht="17" x14ac:dyDescent="0.25">
      <c r="E59" s="11" t="s">
        <v>1063</v>
      </c>
      <c r="J59" s="11" t="s">
        <v>1110</v>
      </c>
    </row>
    <row r="61" spans="5:10" ht="17" x14ac:dyDescent="0.25">
      <c r="E61" s="11" t="s">
        <v>1064</v>
      </c>
      <c r="J61" s="11" t="s">
        <v>1111</v>
      </c>
    </row>
    <row r="62" spans="5:10" ht="17" x14ac:dyDescent="0.25">
      <c r="E62" s="11" t="s">
        <v>80</v>
      </c>
      <c r="J62" s="11" t="s">
        <v>107</v>
      </c>
    </row>
    <row r="63" spans="5:10" ht="17" x14ac:dyDescent="0.25">
      <c r="E63" s="11" t="s">
        <v>1065</v>
      </c>
      <c r="J63" s="11" t="s">
        <v>1112</v>
      </c>
    </row>
    <row r="64" spans="5:10" ht="17" x14ac:dyDescent="0.25">
      <c r="E64" s="11" t="s">
        <v>1066</v>
      </c>
      <c r="J64" s="11" t="s">
        <v>1113</v>
      </c>
    </row>
    <row r="65" spans="5:10" ht="17" x14ac:dyDescent="0.25">
      <c r="E65" s="11" t="s">
        <v>1067</v>
      </c>
      <c r="J65" s="11" t="s">
        <v>1114</v>
      </c>
    </row>
    <row r="67" spans="5:10" ht="17" x14ac:dyDescent="0.25">
      <c r="E67" s="11" t="s">
        <v>1068</v>
      </c>
      <c r="J67" s="11" t="s">
        <v>1115</v>
      </c>
    </row>
    <row r="68" spans="5:10" ht="17" x14ac:dyDescent="0.25">
      <c r="E68" s="11" t="s">
        <v>85</v>
      </c>
      <c r="J68" s="11" t="s">
        <v>105</v>
      </c>
    </row>
    <row r="69" spans="5:10" ht="17" x14ac:dyDescent="0.25">
      <c r="E69" s="11" t="s">
        <v>1069</v>
      </c>
      <c r="J69" s="11" t="s">
        <v>1116</v>
      </c>
    </row>
    <row r="70" spans="5:10" ht="17" x14ac:dyDescent="0.25">
      <c r="E70" s="11" t="s">
        <v>1070</v>
      </c>
      <c r="J70" s="11" t="s">
        <v>1117</v>
      </c>
    </row>
    <row r="71" spans="5:10" ht="17" x14ac:dyDescent="0.25">
      <c r="E71" s="11" t="s">
        <v>1071</v>
      </c>
      <c r="J71" s="11" t="s">
        <v>1118</v>
      </c>
    </row>
    <row r="73" spans="5:10" ht="17" x14ac:dyDescent="0.25">
      <c r="E73" s="11" t="s">
        <v>1072</v>
      </c>
      <c r="J73" s="11" t="s">
        <v>1119</v>
      </c>
    </row>
    <row r="74" spans="5:10" ht="17" x14ac:dyDescent="0.25">
      <c r="E74" s="11" t="s">
        <v>80</v>
      </c>
      <c r="J74" s="11" t="s">
        <v>107</v>
      </c>
    </row>
    <row r="75" spans="5:10" ht="17" x14ac:dyDescent="0.25">
      <c r="E75" s="11" t="s">
        <v>1073</v>
      </c>
      <c r="J75" s="11" t="s">
        <v>1120</v>
      </c>
    </row>
    <row r="76" spans="5:10" ht="17" x14ac:dyDescent="0.25">
      <c r="E76" s="11" t="s">
        <v>1074</v>
      </c>
      <c r="J76" s="11" t="s">
        <v>1121</v>
      </c>
    </row>
    <row r="77" spans="5:10" ht="17" x14ac:dyDescent="0.25">
      <c r="E77" s="11" t="s">
        <v>1075</v>
      </c>
      <c r="J77" s="11" t="s">
        <v>1122</v>
      </c>
    </row>
    <row r="80" spans="5:10" ht="17" x14ac:dyDescent="0.25">
      <c r="J80" s="16" t="s">
        <v>1123</v>
      </c>
    </row>
    <row r="81" spans="10:10" ht="17" x14ac:dyDescent="0.25">
      <c r="J81" s="11" t="s">
        <v>1124</v>
      </c>
    </row>
    <row r="82" spans="10:10" ht="17" x14ac:dyDescent="0.25">
      <c r="J82" s="11" t="s">
        <v>127</v>
      </c>
    </row>
    <row r="83" spans="10:10" ht="17" x14ac:dyDescent="0.25">
      <c r="J83" s="11" t="s">
        <v>1125</v>
      </c>
    </row>
    <row r="84" spans="10:10" ht="17" x14ac:dyDescent="0.25">
      <c r="J84" s="11" t="s">
        <v>1126</v>
      </c>
    </row>
    <row r="85" spans="10:10" ht="17" x14ac:dyDescent="0.25">
      <c r="J85" s="11" t="s">
        <v>1127</v>
      </c>
    </row>
    <row r="87" spans="10:10" ht="17" x14ac:dyDescent="0.25">
      <c r="J87" s="11" t="s">
        <v>1128</v>
      </c>
    </row>
    <row r="88" spans="10:10" ht="17" x14ac:dyDescent="0.25">
      <c r="J88" s="11" t="s">
        <v>80</v>
      </c>
    </row>
    <row r="89" spans="10:10" ht="17" x14ac:dyDescent="0.25">
      <c r="J89" s="11" t="s">
        <v>1129</v>
      </c>
    </row>
    <row r="90" spans="10:10" ht="17" x14ac:dyDescent="0.25">
      <c r="J90" s="11" t="s">
        <v>1130</v>
      </c>
    </row>
    <row r="91" spans="10:10" ht="17" x14ac:dyDescent="0.25">
      <c r="J91" s="11" t="s">
        <v>1131</v>
      </c>
    </row>
    <row r="93" spans="10:10" ht="17" x14ac:dyDescent="0.25">
      <c r="J93" s="11" t="s">
        <v>1132</v>
      </c>
    </row>
    <row r="94" spans="10:10" ht="17" x14ac:dyDescent="0.25">
      <c r="J94" s="11" t="s">
        <v>104</v>
      </c>
    </row>
    <row r="95" spans="10:10" ht="17" x14ac:dyDescent="0.25">
      <c r="J95" s="11" t="s">
        <v>1133</v>
      </c>
    </row>
    <row r="96" spans="10:10" ht="17" x14ac:dyDescent="0.25">
      <c r="J96" s="11" t="s">
        <v>1134</v>
      </c>
    </row>
    <row r="97" spans="10:10" ht="17" x14ac:dyDescent="0.25">
      <c r="J97" s="11" t="s">
        <v>1135</v>
      </c>
    </row>
    <row r="99" spans="10:10" ht="17" x14ac:dyDescent="0.25">
      <c r="J99" s="11" t="s">
        <v>1136</v>
      </c>
    </row>
    <row r="100" spans="10:10" ht="17" x14ac:dyDescent="0.25">
      <c r="J100" s="11" t="s">
        <v>80</v>
      </c>
    </row>
    <row r="101" spans="10:10" ht="17" x14ac:dyDescent="0.25">
      <c r="J101" s="11" t="s">
        <v>1137</v>
      </c>
    </row>
    <row r="102" spans="10:10" ht="17" x14ac:dyDescent="0.25">
      <c r="J102" s="11" t="s">
        <v>1138</v>
      </c>
    </row>
    <row r="103" spans="10:10" ht="17" x14ac:dyDescent="0.25">
      <c r="J103" s="11" t="s">
        <v>1139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45BF-FCCF-4F03-9534-62F41217E014}">
  <dimension ref="A1:J19"/>
  <sheetViews>
    <sheetView workbookViewId="0">
      <selection activeCell="C14" sqref="C14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3</v>
      </c>
      <c r="E1" s="13" t="s">
        <v>172</v>
      </c>
      <c r="J1" s="13" t="s">
        <v>173</v>
      </c>
    </row>
    <row r="2" spans="1:10" ht="17" x14ac:dyDescent="0.25">
      <c r="A2" t="s">
        <v>2</v>
      </c>
      <c r="B2">
        <v>18</v>
      </c>
      <c r="C2" s="1" t="s">
        <v>6</v>
      </c>
      <c r="E2" s="11"/>
    </row>
    <row r="3" spans="1:10" ht="17" x14ac:dyDescent="0.25">
      <c r="A3" t="s">
        <v>2</v>
      </c>
      <c r="B3">
        <v>29</v>
      </c>
      <c r="C3" s="1" t="s">
        <v>6</v>
      </c>
      <c r="E3" s="11"/>
    </row>
    <row r="4" spans="1:10" ht="17" x14ac:dyDescent="0.25">
      <c r="A4" t="s">
        <v>2</v>
      </c>
      <c r="B4">
        <v>30</v>
      </c>
      <c r="C4" s="1" t="s">
        <v>6</v>
      </c>
      <c r="E4" s="11"/>
    </row>
    <row r="5" spans="1:10" ht="17" x14ac:dyDescent="0.25">
      <c r="A5" t="s">
        <v>2</v>
      </c>
      <c r="B5">
        <v>37</v>
      </c>
      <c r="C5" s="1" t="s">
        <v>7</v>
      </c>
      <c r="E5" s="11"/>
    </row>
    <row r="6" spans="1:10" ht="17" x14ac:dyDescent="0.25">
      <c r="A6" t="s">
        <v>2</v>
      </c>
      <c r="B6">
        <v>38</v>
      </c>
      <c r="C6" s="1" t="s">
        <v>7</v>
      </c>
      <c r="E6" s="11"/>
    </row>
    <row r="7" spans="1:10" ht="17" x14ac:dyDescent="0.25">
      <c r="A7" t="s">
        <v>2</v>
      </c>
      <c r="B7">
        <v>96</v>
      </c>
      <c r="C7" s="1" t="s">
        <v>7</v>
      </c>
      <c r="E7" s="11"/>
    </row>
    <row r="8" spans="1:10" x14ac:dyDescent="0.2">
      <c r="A8" t="s">
        <v>2</v>
      </c>
      <c r="B8">
        <v>97</v>
      </c>
      <c r="C8" s="1" t="s">
        <v>4</v>
      </c>
    </row>
    <row r="9" spans="1:10" ht="17" x14ac:dyDescent="0.25">
      <c r="C9" s="1"/>
      <c r="E9" s="11"/>
    </row>
    <row r="10" spans="1:10" ht="17" x14ac:dyDescent="0.25">
      <c r="A10" t="s">
        <v>8</v>
      </c>
      <c r="B10">
        <v>2</v>
      </c>
      <c r="C10" s="1" t="s">
        <v>7</v>
      </c>
      <c r="E10" s="11"/>
    </row>
    <row r="11" spans="1:10" ht="17" x14ac:dyDescent="0.25">
      <c r="A11" t="s">
        <v>8</v>
      </c>
      <c r="B11">
        <v>4</v>
      </c>
      <c r="C11" s="1" t="s">
        <v>7</v>
      </c>
      <c r="E11" s="11"/>
    </row>
    <row r="12" spans="1:10" ht="17" x14ac:dyDescent="0.25">
      <c r="A12" t="s">
        <v>8</v>
      </c>
      <c r="B12">
        <v>71</v>
      </c>
      <c r="C12" s="1" t="s">
        <v>7</v>
      </c>
      <c r="E12" s="11"/>
    </row>
    <row r="13" spans="1:10" ht="17" x14ac:dyDescent="0.25">
      <c r="A13" t="s">
        <v>8</v>
      </c>
      <c r="B13">
        <v>72</v>
      </c>
      <c r="C13" s="1" t="s">
        <v>4</v>
      </c>
      <c r="E13" s="11"/>
    </row>
    <row r="14" spans="1:10" x14ac:dyDescent="0.2">
      <c r="A14" t="s">
        <v>8</v>
      </c>
      <c r="B14">
        <v>74</v>
      </c>
      <c r="C14" s="1" t="s">
        <v>7</v>
      </c>
    </row>
    <row r="15" spans="1:10" ht="17" x14ac:dyDescent="0.25">
      <c r="A15" t="s">
        <v>8</v>
      </c>
      <c r="B15">
        <v>99</v>
      </c>
      <c r="C15" s="1" t="s">
        <v>4</v>
      </c>
      <c r="E15" s="11"/>
    </row>
    <row r="16" spans="1:10" ht="17" x14ac:dyDescent="0.25">
      <c r="A16" t="s">
        <v>8</v>
      </c>
      <c r="B16">
        <v>100</v>
      </c>
      <c r="C16" s="1" t="s">
        <v>6</v>
      </c>
      <c r="E16" s="11"/>
    </row>
    <row r="17" spans="5:5" ht="17" x14ac:dyDescent="0.25">
      <c r="E17" s="11"/>
    </row>
    <row r="18" spans="5:5" ht="17" x14ac:dyDescent="0.25">
      <c r="E18" s="11"/>
    </row>
    <row r="19" spans="5:5" ht="17" x14ac:dyDescent="0.25">
      <c r="E19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6D71-8B2E-4671-BC48-A9B786FB99E5}">
  <dimension ref="A1:J79"/>
  <sheetViews>
    <sheetView workbookViewId="0">
      <selection activeCell="C19" sqref="C19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3</v>
      </c>
      <c r="E1" s="13" t="s">
        <v>172</v>
      </c>
      <c r="J1" s="13" t="s">
        <v>173</v>
      </c>
    </row>
    <row r="2" spans="1:10" ht="17" x14ac:dyDescent="0.25">
      <c r="A2" t="s">
        <v>2</v>
      </c>
      <c r="B2">
        <v>18</v>
      </c>
      <c r="C2" s="1" t="s">
        <v>4</v>
      </c>
      <c r="E2" s="16" t="s">
        <v>128</v>
      </c>
      <c r="J2" s="16" t="s">
        <v>126</v>
      </c>
    </row>
    <row r="3" spans="1:10" ht="17" x14ac:dyDescent="0.25">
      <c r="A3" t="s">
        <v>2</v>
      </c>
      <c r="B3">
        <v>19</v>
      </c>
      <c r="C3" s="1" t="s">
        <v>4</v>
      </c>
      <c r="E3" s="11" t="s">
        <v>129</v>
      </c>
      <c r="J3" s="11" t="s">
        <v>90</v>
      </c>
    </row>
    <row r="4" spans="1:10" ht="17" x14ac:dyDescent="0.25">
      <c r="A4" t="s">
        <v>2</v>
      </c>
      <c r="B4">
        <v>30</v>
      </c>
      <c r="C4" s="1" t="s">
        <v>7</v>
      </c>
      <c r="E4" s="11" t="s">
        <v>104</v>
      </c>
      <c r="J4" s="11" t="s">
        <v>127</v>
      </c>
    </row>
    <row r="5" spans="1:10" ht="17" x14ac:dyDescent="0.25">
      <c r="A5" t="s">
        <v>2</v>
      </c>
      <c r="B5">
        <v>31</v>
      </c>
      <c r="C5" s="1" t="s">
        <v>5</v>
      </c>
      <c r="E5" s="11" t="s">
        <v>130</v>
      </c>
      <c r="J5" s="11" t="s">
        <v>565</v>
      </c>
    </row>
    <row r="6" spans="1:10" ht="17" x14ac:dyDescent="0.25">
      <c r="A6" t="s">
        <v>2</v>
      </c>
      <c r="B6">
        <v>41</v>
      </c>
      <c r="C6" s="1" t="s">
        <v>4</v>
      </c>
      <c r="E6" s="11" t="s">
        <v>131</v>
      </c>
      <c r="J6" s="11" t="s">
        <v>566</v>
      </c>
    </row>
    <row r="7" spans="1:10" ht="17" x14ac:dyDescent="0.25">
      <c r="A7" t="s">
        <v>2</v>
      </c>
      <c r="B7">
        <v>42</v>
      </c>
      <c r="C7" s="1" t="s">
        <v>4</v>
      </c>
      <c r="E7" s="11" t="s">
        <v>132</v>
      </c>
      <c r="J7" s="11" t="s">
        <v>567</v>
      </c>
    </row>
    <row r="8" spans="1:10" x14ac:dyDescent="0.2">
      <c r="A8" t="s">
        <v>2</v>
      </c>
      <c r="B8">
        <v>43</v>
      </c>
      <c r="C8" s="1" t="s">
        <v>4</v>
      </c>
    </row>
    <row r="9" spans="1:10" ht="17" x14ac:dyDescent="0.25">
      <c r="A9" t="s">
        <v>2</v>
      </c>
      <c r="B9">
        <v>44</v>
      </c>
      <c r="C9" s="1" t="s">
        <v>5</v>
      </c>
      <c r="E9" s="11" t="s">
        <v>133</v>
      </c>
      <c r="J9" s="11" t="s">
        <v>95</v>
      </c>
    </row>
    <row r="10" spans="1:10" ht="17" x14ac:dyDescent="0.25">
      <c r="A10" t="s">
        <v>2</v>
      </c>
      <c r="B10">
        <v>146</v>
      </c>
      <c r="C10" s="1" t="s">
        <v>4</v>
      </c>
      <c r="E10" s="11" t="s">
        <v>100</v>
      </c>
      <c r="J10" s="11" t="s">
        <v>80</v>
      </c>
    </row>
    <row r="11" spans="1:10" ht="17" x14ac:dyDescent="0.25">
      <c r="A11" t="s">
        <v>2</v>
      </c>
      <c r="B11">
        <v>147</v>
      </c>
      <c r="C11" s="1" t="s">
        <v>6</v>
      </c>
      <c r="E11" s="11" t="s">
        <v>134</v>
      </c>
      <c r="J11" s="11" t="s">
        <v>568</v>
      </c>
    </row>
    <row r="12" spans="1:10" ht="17" x14ac:dyDescent="0.25">
      <c r="A12" t="s">
        <v>2</v>
      </c>
      <c r="B12">
        <v>156</v>
      </c>
      <c r="C12" s="1" t="s">
        <v>7</v>
      </c>
      <c r="E12" s="11" t="s">
        <v>135</v>
      </c>
      <c r="J12" s="11" t="s">
        <v>569</v>
      </c>
    </row>
    <row r="13" spans="1:10" ht="17" x14ac:dyDescent="0.25">
      <c r="A13" t="s">
        <v>2</v>
      </c>
      <c r="B13">
        <v>157</v>
      </c>
      <c r="C13" s="1" t="s">
        <v>4</v>
      </c>
      <c r="E13" s="11" t="s">
        <v>136</v>
      </c>
      <c r="J13" s="11" t="s">
        <v>570</v>
      </c>
    </row>
    <row r="14" spans="1:10" x14ac:dyDescent="0.2">
      <c r="A14" t="s">
        <v>2</v>
      </c>
      <c r="B14">
        <v>158</v>
      </c>
      <c r="C14" s="1" t="s">
        <v>5</v>
      </c>
    </row>
    <row r="15" spans="1:10" ht="17" x14ac:dyDescent="0.25">
      <c r="C15" s="1"/>
      <c r="E15" s="11" t="s">
        <v>137</v>
      </c>
      <c r="J15" s="11" t="s">
        <v>99</v>
      </c>
    </row>
    <row r="16" spans="1:10" ht="17" x14ac:dyDescent="0.25">
      <c r="A16" t="s">
        <v>8</v>
      </c>
      <c r="B16">
        <v>6</v>
      </c>
      <c r="C16" s="1" t="s">
        <v>7</v>
      </c>
      <c r="E16" s="11" t="s">
        <v>107</v>
      </c>
      <c r="J16" s="11" t="s">
        <v>104</v>
      </c>
    </row>
    <row r="17" spans="1:10" ht="17" x14ac:dyDescent="0.25">
      <c r="A17" t="s">
        <v>8</v>
      </c>
      <c r="B17">
        <v>7</v>
      </c>
      <c r="C17" s="1" t="s">
        <v>6</v>
      </c>
      <c r="E17" s="11" t="s">
        <v>138</v>
      </c>
      <c r="J17" s="11" t="s">
        <v>571</v>
      </c>
    </row>
    <row r="18" spans="1:10" ht="17" x14ac:dyDescent="0.25">
      <c r="A18" t="s">
        <v>8</v>
      </c>
      <c r="B18">
        <v>87</v>
      </c>
      <c r="C18" s="1" t="s">
        <v>7</v>
      </c>
      <c r="E18" s="11" t="s">
        <v>139</v>
      </c>
      <c r="J18" s="11" t="s">
        <v>572</v>
      </c>
    </row>
    <row r="19" spans="1:10" ht="17" x14ac:dyDescent="0.25">
      <c r="A19" t="s">
        <v>8</v>
      </c>
      <c r="B19">
        <v>88</v>
      </c>
      <c r="C19" s="1" t="s">
        <v>7</v>
      </c>
      <c r="E19" s="11" t="s">
        <v>140</v>
      </c>
      <c r="J19" s="11" t="s">
        <v>573</v>
      </c>
    </row>
    <row r="20" spans="1:10" x14ac:dyDescent="0.2">
      <c r="A20" t="s">
        <v>8</v>
      </c>
      <c r="B20">
        <v>89</v>
      </c>
      <c r="C20" s="1" t="s">
        <v>6</v>
      </c>
    </row>
    <row r="21" spans="1:10" ht="17" x14ac:dyDescent="0.25">
      <c r="A21" t="s">
        <v>8</v>
      </c>
      <c r="B21">
        <v>97</v>
      </c>
      <c r="C21" s="1" t="s">
        <v>5</v>
      </c>
      <c r="E21" s="16" t="s">
        <v>145</v>
      </c>
    </row>
    <row r="22" spans="1:10" ht="17" x14ac:dyDescent="0.25">
      <c r="A22" t="s">
        <v>8</v>
      </c>
      <c r="B22">
        <v>98</v>
      </c>
      <c r="C22" s="1" t="s">
        <v>6</v>
      </c>
      <c r="E22" s="11" t="s">
        <v>146</v>
      </c>
    </row>
    <row r="23" spans="1:10" ht="17" x14ac:dyDescent="0.25">
      <c r="A23" t="s">
        <v>8</v>
      </c>
      <c r="B23">
        <v>99</v>
      </c>
      <c r="C23" s="1" t="s">
        <v>6</v>
      </c>
      <c r="E23" s="11" t="s">
        <v>106</v>
      </c>
    </row>
    <row r="24" spans="1:10" ht="17" x14ac:dyDescent="0.25">
      <c r="E24" s="11" t="s">
        <v>147</v>
      </c>
    </row>
    <row r="25" spans="1:10" ht="17" x14ac:dyDescent="0.25">
      <c r="E25" s="11" t="s">
        <v>148</v>
      </c>
    </row>
    <row r="26" spans="1:10" ht="17" x14ac:dyDescent="0.25">
      <c r="E26" s="11" t="s">
        <v>149</v>
      </c>
    </row>
    <row r="28" spans="1:10" ht="17" x14ac:dyDescent="0.25">
      <c r="E28" s="11" t="s">
        <v>150</v>
      </c>
    </row>
    <row r="29" spans="1:10" ht="17" x14ac:dyDescent="0.25">
      <c r="E29" s="11" t="s">
        <v>151</v>
      </c>
    </row>
    <row r="30" spans="1:10" ht="17" x14ac:dyDescent="0.25">
      <c r="E30" s="11" t="s">
        <v>152</v>
      </c>
    </row>
    <row r="31" spans="1:10" ht="17" x14ac:dyDescent="0.25">
      <c r="E31" s="11" t="s">
        <v>153</v>
      </c>
    </row>
    <row r="32" spans="1:10" ht="17" x14ac:dyDescent="0.25">
      <c r="E32" s="11" t="s">
        <v>154</v>
      </c>
    </row>
    <row r="34" spans="5:5" ht="17" x14ac:dyDescent="0.25">
      <c r="E34" s="11" t="s">
        <v>155</v>
      </c>
    </row>
    <row r="35" spans="5:5" ht="17" x14ac:dyDescent="0.25">
      <c r="E35" s="11" t="s">
        <v>107</v>
      </c>
    </row>
    <row r="36" spans="5:5" ht="17" x14ac:dyDescent="0.25">
      <c r="E36" s="11" t="s">
        <v>156</v>
      </c>
    </row>
    <row r="37" spans="5:5" ht="17" x14ac:dyDescent="0.25">
      <c r="E37" s="11" t="s">
        <v>157</v>
      </c>
    </row>
    <row r="38" spans="5:5" ht="17" x14ac:dyDescent="0.25">
      <c r="E38" s="11" t="s">
        <v>158</v>
      </c>
    </row>
    <row r="39" spans="5:5" ht="17" x14ac:dyDescent="0.25">
      <c r="E39" s="11"/>
    </row>
    <row r="40" spans="5:5" ht="17" x14ac:dyDescent="0.25">
      <c r="E40" s="16" t="s">
        <v>159</v>
      </c>
    </row>
    <row r="41" spans="5:5" ht="17" x14ac:dyDescent="0.25">
      <c r="E41" s="11" t="s">
        <v>160</v>
      </c>
    </row>
    <row r="42" spans="5:5" ht="17" x14ac:dyDescent="0.25">
      <c r="E42" s="11" t="s">
        <v>80</v>
      </c>
    </row>
    <row r="43" spans="5:5" ht="17" x14ac:dyDescent="0.25">
      <c r="E43" s="11" t="s">
        <v>161</v>
      </c>
    </row>
    <row r="44" spans="5:5" ht="17" x14ac:dyDescent="0.25">
      <c r="E44" s="11" t="s">
        <v>162</v>
      </c>
    </row>
    <row r="45" spans="5:5" ht="17" x14ac:dyDescent="0.25">
      <c r="E45" s="11" t="s">
        <v>163</v>
      </c>
    </row>
    <row r="47" spans="5:5" ht="17" x14ac:dyDescent="0.25">
      <c r="E47" s="11" t="s">
        <v>164</v>
      </c>
    </row>
    <row r="48" spans="5:5" ht="17" x14ac:dyDescent="0.25">
      <c r="E48" s="11" t="s">
        <v>105</v>
      </c>
    </row>
    <row r="49" spans="5:5" ht="17" x14ac:dyDescent="0.25">
      <c r="E49" s="11" t="s">
        <v>165</v>
      </c>
    </row>
    <row r="50" spans="5:5" ht="17" x14ac:dyDescent="0.25">
      <c r="E50" s="11" t="s">
        <v>166</v>
      </c>
    </row>
    <row r="51" spans="5:5" ht="17" x14ac:dyDescent="0.25">
      <c r="E51" s="11" t="s">
        <v>167</v>
      </c>
    </row>
    <row r="53" spans="5:5" ht="17" x14ac:dyDescent="0.25">
      <c r="E53" s="11" t="s">
        <v>168</v>
      </c>
    </row>
    <row r="54" spans="5:5" ht="17" x14ac:dyDescent="0.25">
      <c r="E54" s="11" t="s">
        <v>100</v>
      </c>
    </row>
    <row r="55" spans="5:5" ht="17" x14ac:dyDescent="0.25">
      <c r="E55" s="11" t="s">
        <v>169</v>
      </c>
    </row>
    <row r="56" spans="5:5" ht="17" x14ac:dyDescent="0.25">
      <c r="E56" s="11" t="s">
        <v>170</v>
      </c>
    </row>
    <row r="57" spans="5:5" ht="17" x14ac:dyDescent="0.25">
      <c r="E57" s="11" t="s">
        <v>171</v>
      </c>
    </row>
    <row r="62" spans="5:5" ht="17" x14ac:dyDescent="0.25">
      <c r="E62" s="11"/>
    </row>
    <row r="63" spans="5:5" ht="17" x14ac:dyDescent="0.25">
      <c r="E63" s="11"/>
    </row>
    <row r="64" spans="5:5" ht="17" x14ac:dyDescent="0.25">
      <c r="E64" s="11"/>
    </row>
    <row r="65" spans="5:5" ht="17" x14ac:dyDescent="0.25">
      <c r="E65" s="11"/>
    </row>
    <row r="66" spans="5:5" ht="17" x14ac:dyDescent="0.25">
      <c r="E66" s="11"/>
    </row>
    <row r="67" spans="5:5" ht="17" x14ac:dyDescent="0.25">
      <c r="E67" s="11"/>
    </row>
    <row r="69" spans="5:5" ht="17" x14ac:dyDescent="0.25">
      <c r="E69" s="11"/>
    </row>
    <row r="70" spans="5:5" ht="17" x14ac:dyDescent="0.25">
      <c r="E70" s="11"/>
    </row>
    <row r="71" spans="5:5" ht="17" x14ac:dyDescent="0.25">
      <c r="E71" s="11"/>
    </row>
    <row r="72" spans="5:5" ht="17" x14ac:dyDescent="0.25">
      <c r="E72" s="11"/>
    </row>
    <row r="73" spans="5:5" ht="17" x14ac:dyDescent="0.25">
      <c r="E73" s="11"/>
    </row>
    <row r="75" spans="5:5" ht="17" x14ac:dyDescent="0.25">
      <c r="E75" s="11"/>
    </row>
    <row r="76" spans="5:5" ht="17" x14ac:dyDescent="0.25">
      <c r="E76" s="11"/>
    </row>
    <row r="77" spans="5:5" ht="17" x14ac:dyDescent="0.25">
      <c r="E77" s="11"/>
    </row>
    <row r="78" spans="5:5" ht="17" x14ac:dyDescent="0.25">
      <c r="E78" s="11"/>
    </row>
    <row r="79" spans="5:5" ht="17" x14ac:dyDescent="0.25">
      <c r="E79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7EC7-47B9-724B-A175-B589805B97B6}">
  <dimension ref="A1:I19"/>
  <sheetViews>
    <sheetView workbookViewId="0">
      <selection activeCell="A15" sqref="A15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3</v>
      </c>
      <c r="E1" s="13" t="s">
        <v>172</v>
      </c>
      <c r="I1" s="13" t="s">
        <v>173</v>
      </c>
    </row>
    <row r="2" spans="1:9" ht="17" x14ac:dyDescent="0.25">
      <c r="A2" t="s">
        <v>2</v>
      </c>
      <c r="B2">
        <v>7</v>
      </c>
      <c r="C2" s="1" t="s">
        <v>6</v>
      </c>
      <c r="I2" s="11"/>
    </row>
    <row r="3" spans="1:9" ht="17" x14ac:dyDescent="0.25">
      <c r="A3" t="s">
        <v>2</v>
      </c>
      <c r="B3">
        <v>8</v>
      </c>
      <c r="C3" s="1" t="s">
        <v>6</v>
      </c>
      <c r="I3" s="11"/>
    </row>
    <row r="4" spans="1:9" ht="17" x14ac:dyDescent="0.25">
      <c r="A4" t="s">
        <v>2</v>
      </c>
      <c r="B4">
        <v>9</v>
      </c>
      <c r="C4" s="1" t="s">
        <v>6</v>
      </c>
      <c r="I4" s="11"/>
    </row>
    <row r="5" spans="1:9" ht="17" x14ac:dyDescent="0.25">
      <c r="A5" t="s">
        <v>2</v>
      </c>
      <c r="B5">
        <v>18</v>
      </c>
      <c r="C5" s="1" t="s">
        <v>6</v>
      </c>
      <c r="I5" s="11"/>
    </row>
    <row r="6" spans="1:9" ht="17" x14ac:dyDescent="0.25">
      <c r="A6" t="s">
        <v>2</v>
      </c>
      <c r="B6">
        <v>19</v>
      </c>
      <c r="C6" s="1" t="s">
        <v>7</v>
      </c>
      <c r="I6" s="11"/>
    </row>
    <row r="7" spans="1:9" ht="17" x14ac:dyDescent="0.25">
      <c r="A7" t="s">
        <v>2</v>
      </c>
      <c r="B7">
        <v>20</v>
      </c>
      <c r="C7" s="1" t="s">
        <v>6</v>
      </c>
      <c r="I7" s="11"/>
    </row>
    <row r="8" spans="1:9" x14ac:dyDescent="0.2">
      <c r="A8" t="s">
        <v>2</v>
      </c>
      <c r="B8">
        <v>30</v>
      </c>
      <c r="C8" s="1" t="s">
        <v>6</v>
      </c>
    </row>
    <row r="9" spans="1:9" ht="17" x14ac:dyDescent="0.25">
      <c r="A9" t="s">
        <v>2</v>
      </c>
      <c r="B9">
        <v>31</v>
      </c>
      <c r="C9" s="1" t="s">
        <v>6</v>
      </c>
      <c r="I9" s="11"/>
    </row>
    <row r="10" spans="1:9" ht="17" x14ac:dyDescent="0.25">
      <c r="A10" t="s">
        <v>2</v>
      </c>
      <c r="B10">
        <v>32</v>
      </c>
      <c r="C10" s="1" t="s">
        <v>7</v>
      </c>
      <c r="I10" s="11"/>
    </row>
    <row r="11" spans="1:9" ht="17" x14ac:dyDescent="0.25">
      <c r="I11" s="11"/>
    </row>
    <row r="12" spans="1:9" ht="17" x14ac:dyDescent="0.25">
      <c r="A12" t="s">
        <v>8</v>
      </c>
      <c r="B12">
        <v>52</v>
      </c>
      <c r="C12" s="1" t="s">
        <v>4</v>
      </c>
      <c r="I12" s="11"/>
    </row>
    <row r="13" spans="1:9" ht="17" x14ac:dyDescent="0.25">
      <c r="A13" t="s">
        <v>8</v>
      </c>
      <c r="B13">
        <v>53</v>
      </c>
      <c r="C13" s="1" t="s">
        <v>4</v>
      </c>
      <c r="I13" s="11"/>
    </row>
    <row r="14" spans="1:9" x14ac:dyDescent="0.2">
      <c r="A14" t="s">
        <v>8</v>
      </c>
      <c r="B14">
        <v>54</v>
      </c>
      <c r="C14" s="1" t="s">
        <v>6</v>
      </c>
    </row>
    <row r="15" spans="1:9" ht="17" x14ac:dyDescent="0.25">
      <c r="I15" s="11"/>
    </row>
    <row r="16" spans="1:9" ht="17" x14ac:dyDescent="0.25">
      <c r="I16" s="11"/>
    </row>
    <row r="17" spans="9:9" ht="17" x14ac:dyDescent="0.25">
      <c r="I17" s="11"/>
    </row>
    <row r="18" spans="9:9" ht="17" x14ac:dyDescent="0.25">
      <c r="I18" s="11"/>
    </row>
    <row r="19" spans="9:9" ht="17" x14ac:dyDescent="0.25">
      <c r="I19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6D3B-FDCE-4DE0-ABA9-17946D15E8C4}">
  <dimension ref="A1:J79"/>
  <sheetViews>
    <sheetView workbookViewId="0">
      <selection activeCell="C25" sqref="C25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3</v>
      </c>
      <c r="E1" s="13" t="s">
        <v>172</v>
      </c>
      <c r="J1" s="13" t="s">
        <v>173</v>
      </c>
    </row>
    <row r="2" spans="1:10" ht="17" x14ac:dyDescent="0.25">
      <c r="A2" t="s">
        <v>2</v>
      </c>
      <c r="B2">
        <v>4</v>
      </c>
      <c r="C2" s="1" t="s">
        <v>6</v>
      </c>
      <c r="E2" s="16" t="s">
        <v>128</v>
      </c>
      <c r="J2" s="16" t="s">
        <v>574</v>
      </c>
    </row>
    <row r="3" spans="1:10" ht="17" x14ac:dyDescent="0.25">
      <c r="A3" t="s">
        <v>2</v>
      </c>
      <c r="B3">
        <v>20</v>
      </c>
      <c r="C3" s="1" t="s">
        <v>7</v>
      </c>
      <c r="E3" s="11" t="s">
        <v>129</v>
      </c>
      <c r="J3" s="11" t="s">
        <v>575</v>
      </c>
    </row>
    <row r="4" spans="1:10" ht="17" x14ac:dyDescent="0.25">
      <c r="A4" t="s">
        <v>2</v>
      </c>
      <c r="B4">
        <v>21</v>
      </c>
      <c r="C4" s="1" t="s">
        <v>7</v>
      </c>
      <c r="E4" s="11" t="s">
        <v>75</v>
      </c>
      <c r="J4" s="11" t="s">
        <v>127</v>
      </c>
    </row>
    <row r="5" spans="1:10" ht="17" x14ac:dyDescent="0.25">
      <c r="A5" t="s">
        <v>2</v>
      </c>
      <c r="B5">
        <v>30</v>
      </c>
      <c r="C5" s="1" t="s">
        <v>7</v>
      </c>
      <c r="E5" s="11" t="s">
        <v>174</v>
      </c>
      <c r="J5" s="11" t="s">
        <v>576</v>
      </c>
    </row>
    <row r="6" spans="1:10" ht="17" x14ac:dyDescent="0.25">
      <c r="A6" t="s">
        <v>2</v>
      </c>
      <c r="B6">
        <v>31</v>
      </c>
      <c r="C6" s="1" t="s">
        <v>5</v>
      </c>
      <c r="E6" s="11" t="s">
        <v>175</v>
      </c>
      <c r="J6" s="11" t="s">
        <v>577</v>
      </c>
    </row>
    <row r="7" spans="1:10" ht="17" x14ac:dyDescent="0.25">
      <c r="A7" t="s">
        <v>2</v>
      </c>
      <c r="B7">
        <v>42</v>
      </c>
      <c r="C7" s="1" t="s">
        <v>4</v>
      </c>
      <c r="E7" s="11" t="s">
        <v>176</v>
      </c>
      <c r="J7" s="11" t="s">
        <v>578</v>
      </c>
    </row>
    <row r="8" spans="1:10" x14ac:dyDescent="0.2">
      <c r="A8" t="s">
        <v>2</v>
      </c>
      <c r="B8">
        <v>43</v>
      </c>
      <c r="C8" s="1" t="s">
        <v>5</v>
      </c>
    </row>
    <row r="9" spans="1:10" ht="17" x14ac:dyDescent="0.25">
      <c r="A9" t="s">
        <v>2</v>
      </c>
      <c r="B9">
        <v>44</v>
      </c>
      <c r="C9" s="1" t="s">
        <v>5</v>
      </c>
      <c r="E9" s="11" t="s">
        <v>133</v>
      </c>
      <c r="J9" s="11" t="s">
        <v>579</v>
      </c>
    </row>
    <row r="10" spans="1:10" ht="17" x14ac:dyDescent="0.25">
      <c r="A10" t="s">
        <v>2</v>
      </c>
      <c r="B10">
        <v>45</v>
      </c>
      <c r="C10" s="1" t="s">
        <v>5</v>
      </c>
      <c r="E10" s="11" t="s">
        <v>104</v>
      </c>
      <c r="J10" s="11" t="s">
        <v>80</v>
      </c>
    </row>
    <row r="11" spans="1:10" ht="17" x14ac:dyDescent="0.25">
      <c r="A11" t="s">
        <v>2</v>
      </c>
      <c r="B11">
        <v>89</v>
      </c>
      <c r="C11" s="1" t="s">
        <v>4</v>
      </c>
      <c r="E11" s="11" t="s">
        <v>177</v>
      </c>
      <c r="J11" s="11" t="s">
        <v>580</v>
      </c>
    </row>
    <row r="12" spans="1:10" ht="17" x14ac:dyDescent="0.25">
      <c r="A12" t="s">
        <v>2</v>
      </c>
      <c r="B12">
        <v>129</v>
      </c>
      <c r="C12" s="1" t="s">
        <v>6</v>
      </c>
      <c r="E12" s="11" t="s">
        <v>178</v>
      </c>
      <c r="J12" s="11" t="s">
        <v>581</v>
      </c>
    </row>
    <row r="13" spans="1:10" ht="17" x14ac:dyDescent="0.25">
      <c r="C13" s="1"/>
      <c r="E13" s="11" t="s">
        <v>179</v>
      </c>
      <c r="J13" s="11" t="s">
        <v>582</v>
      </c>
    </row>
    <row r="14" spans="1:10" x14ac:dyDescent="0.2">
      <c r="A14" t="s">
        <v>8</v>
      </c>
      <c r="B14">
        <v>32</v>
      </c>
      <c r="C14" s="1" t="s">
        <v>4</v>
      </c>
    </row>
    <row r="15" spans="1:10" ht="17" x14ac:dyDescent="0.25">
      <c r="A15" t="s">
        <v>8</v>
      </c>
      <c r="B15">
        <v>33</v>
      </c>
      <c r="C15" s="1" t="s">
        <v>7</v>
      </c>
      <c r="E15" s="11" t="s">
        <v>137</v>
      </c>
      <c r="J15" s="11" t="s">
        <v>583</v>
      </c>
    </row>
    <row r="16" spans="1:10" ht="17" x14ac:dyDescent="0.25">
      <c r="A16" t="s">
        <v>8</v>
      </c>
      <c r="B16">
        <v>46</v>
      </c>
      <c r="C16" s="1" t="s">
        <v>5</v>
      </c>
      <c r="E16" s="11" t="s">
        <v>122</v>
      </c>
      <c r="J16" s="11" t="s">
        <v>80</v>
      </c>
    </row>
    <row r="17" spans="1:10" ht="17" x14ac:dyDescent="0.25">
      <c r="A17" t="s">
        <v>8</v>
      </c>
      <c r="B17">
        <v>75</v>
      </c>
      <c r="C17" s="1" t="s">
        <v>6</v>
      </c>
      <c r="E17" s="11" t="s">
        <v>180</v>
      </c>
      <c r="J17" s="11" t="s">
        <v>584</v>
      </c>
    </row>
    <row r="18" spans="1:10" ht="17" x14ac:dyDescent="0.25">
      <c r="A18" t="s">
        <v>8</v>
      </c>
      <c r="B18">
        <v>76</v>
      </c>
      <c r="C18" s="1" t="s">
        <v>6</v>
      </c>
      <c r="E18" s="11" t="s">
        <v>181</v>
      </c>
      <c r="J18" s="11" t="s">
        <v>585</v>
      </c>
    </row>
    <row r="19" spans="1:10" ht="17" x14ac:dyDescent="0.25">
      <c r="A19" t="s">
        <v>8</v>
      </c>
      <c r="B19">
        <v>77</v>
      </c>
      <c r="C19" s="1" t="s">
        <v>5</v>
      </c>
      <c r="E19" s="11" t="s">
        <v>182</v>
      </c>
      <c r="J19" s="11" t="s">
        <v>586</v>
      </c>
    </row>
    <row r="20" spans="1:10" x14ac:dyDescent="0.2">
      <c r="A20" t="s">
        <v>8</v>
      </c>
      <c r="B20">
        <v>78</v>
      </c>
      <c r="C20" s="1" t="s">
        <v>7</v>
      </c>
    </row>
    <row r="21" spans="1:10" ht="17" x14ac:dyDescent="0.25">
      <c r="A21" t="s">
        <v>8</v>
      </c>
      <c r="B21">
        <v>79</v>
      </c>
      <c r="C21" s="1" t="s">
        <v>7</v>
      </c>
      <c r="J21" s="16" t="s">
        <v>587</v>
      </c>
    </row>
    <row r="22" spans="1:10" ht="17" x14ac:dyDescent="0.25">
      <c r="A22" t="s">
        <v>8</v>
      </c>
      <c r="B22">
        <v>90</v>
      </c>
      <c r="C22" s="1" t="s">
        <v>5</v>
      </c>
      <c r="E22" s="16" t="s">
        <v>141</v>
      </c>
      <c r="J22" s="11" t="s">
        <v>588</v>
      </c>
    </row>
    <row r="23" spans="1:10" ht="17" x14ac:dyDescent="0.25">
      <c r="A23" t="s">
        <v>8</v>
      </c>
      <c r="B23">
        <v>91</v>
      </c>
      <c r="C23" s="1" t="s">
        <v>5</v>
      </c>
      <c r="E23" s="11" t="s">
        <v>142</v>
      </c>
      <c r="J23" s="11" t="s">
        <v>75</v>
      </c>
    </row>
    <row r="24" spans="1:10" ht="17" x14ac:dyDescent="0.25">
      <c r="A24" t="s">
        <v>8</v>
      </c>
      <c r="B24">
        <v>92</v>
      </c>
      <c r="C24" s="1" t="s">
        <v>7</v>
      </c>
      <c r="E24" s="11" t="s">
        <v>106</v>
      </c>
      <c r="J24" s="11" t="s">
        <v>589</v>
      </c>
    </row>
    <row r="25" spans="1:10" ht="17" x14ac:dyDescent="0.25">
      <c r="A25" t="s">
        <v>8</v>
      </c>
      <c r="B25">
        <v>130</v>
      </c>
      <c r="C25" s="1" t="s">
        <v>7</v>
      </c>
      <c r="E25" s="11" t="s">
        <v>183</v>
      </c>
      <c r="J25" s="11" t="s">
        <v>590</v>
      </c>
    </row>
    <row r="26" spans="1:10" ht="17" x14ac:dyDescent="0.25">
      <c r="E26" s="11" t="s">
        <v>184</v>
      </c>
      <c r="J26" s="11" t="s">
        <v>591</v>
      </c>
    </row>
    <row r="27" spans="1:10" ht="17" x14ac:dyDescent="0.25">
      <c r="E27" s="11" t="s">
        <v>185</v>
      </c>
    </row>
    <row r="28" spans="1:10" ht="17" x14ac:dyDescent="0.25">
      <c r="J28" s="11" t="s">
        <v>592</v>
      </c>
    </row>
    <row r="29" spans="1:10" ht="17" x14ac:dyDescent="0.25">
      <c r="E29" s="11" t="s">
        <v>143</v>
      </c>
      <c r="J29" s="11" t="s">
        <v>80</v>
      </c>
    </row>
    <row r="30" spans="1:10" ht="17" x14ac:dyDescent="0.25">
      <c r="E30" s="11" t="s">
        <v>80</v>
      </c>
      <c r="J30" s="11" t="s">
        <v>593</v>
      </c>
    </row>
    <row r="31" spans="1:10" ht="17" x14ac:dyDescent="0.25">
      <c r="E31" s="11" t="s">
        <v>186</v>
      </c>
      <c r="J31" s="11" t="s">
        <v>594</v>
      </c>
    </row>
    <row r="32" spans="1:10" ht="17" x14ac:dyDescent="0.25">
      <c r="E32" s="11" t="s">
        <v>187</v>
      </c>
      <c r="J32" s="11" t="s">
        <v>595</v>
      </c>
    </row>
    <row r="33" spans="5:10" ht="17" x14ac:dyDescent="0.25">
      <c r="E33" s="11" t="s">
        <v>188</v>
      </c>
    </row>
    <row r="34" spans="5:10" ht="17" x14ac:dyDescent="0.25">
      <c r="J34" s="11" t="s">
        <v>596</v>
      </c>
    </row>
    <row r="35" spans="5:10" ht="17" x14ac:dyDescent="0.25">
      <c r="E35" s="11" t="s">
        <v>144</v>
      </c>
      <c r="J35" s="11" t="s">
        <v>107</v>
      </c>
    </row>
    <row r="36" spans="5:10" ht="17" x14ac:dyDescent="0.25">
      <c r="E36" s="11" t="s">
        <v>80</v>
      </c>
      <c r="J36" s="11" t="s">
        <v>597</v>
      </c>
    </row>
    <row r="37" spans="5:10" ht="17" x14ac:dyDescent="0.25">
      <c r="E37" s="11" t="s">
        <v>189</v>
      </c>
      <c r="J37" s="11" t="s">
        <v>598</v>
      </c>
    </row>
    <row r="38" spans="5:10" ht="17" x14ac:dyDescent="0.25">
      <c r="E38" s="11" t="s">
        <v>190</v>
      </c>
      <c r="J38" s="11" t="s">
        <v>599</v>
      </c>
    </row>
    <row r="39" spans="5:10" ht="17" x14ac:dyDescent="0.25">
      <c r="E39" s="11" t="s">
        <v>191</v>
      </c>
    </row>
    <row r="40" spans="5:10" ht="17" x14ac:dyDescent="0.25">
      <c r="J40" s="14" t="s">
        <v>600</v>
      </c>
    </row>
    <row r="41" spans="5:10" ht="17" x14ac:dyDescent="0.25">
      <c r="J41" s="11" t="s">
        <v>601</v>
      </c>
    </row>
    <row r="42" spans="5:10" ht="17" x14ac:dyDescent="0.25">
      <c r="E42" s="16" t="s">
        <v>145</v>
      </c>
      <c r="J42" s="11" t="s">
        <v>75</v>
      </c>
    </row>
    <row r="43" spans="5:10" ht="17" x14ac:dyDescent="0.25">
      <c r="E43" s="11" t="s">
        <v>146</v>
      </c>
      <c r="J43" s="11" t="s">
        <v>602</v>
      </c>
    </row>
    <row r="44" spans="5:10" ht="17" x14ac:dyDescent="0.25">
      <c r="E44" s="11" t="s">
        <v>75</v>
      </c>
      <c r="J44" s="11" t="s">
        <v>603</v>
      </c>
    </row>
    <row r="45" spans="5:10" ht="17" x14ac:dyDescent="0.25">
      <c r="E45" s="11" t="s">
        <v>192</v>
      </c>
      <c r="J45" s="11" t="s">
        <v>604</v>
      </c>
    </row>
    <row r="46" spans="5:10" ht="17" x14ac:dyDescent="0.25">
      <c r="E46" s="11" t="s">
        <v>193</v>
      </c>
    </row>
    <row r="47" spans="5:10" ht="17" x14ac:dyDescent="0.25">
      <c r="E47" s="11" t="s">
        <v>194</v>
      </c>
      <c r="J47" s="11" t="s">
        <v>605</v>
      </c>
    </row>
    <row r="48" spans="5:10" ht="17" x14ac:dyDescent="0.25">
      <c r="J48" s="11" t="s">
        <v>80</v>
      </c>
    </row>
    <row r="49" spans="5:10" ht="17" x14ac:dyDescent="0.25">
      <c r="E49" s="11" t="s">
        <v>150</v>
      </c>
      <c r="J49" s="11" t="s">
        <v>606</v>
      </c>
    </row>
    <row r="50" spans="5:10" ht="17" x14ac:dyDescent="0.25">
      <c r="E50" s="11" t="s">
        <v>80</v>
      </c>
      <c r="J50" s="11" t="s">
        <v>607</v>
      </c>
    </row>
    <row r="51" spans="5:10" ht="17" x14ac:dyDescent="0.25">
      <c r="E51" s="11" t="s">
        <v>195</v>
      </c>
      <c r="J51" s="11" t="s">
        <v>608</v>
      </c>
    </row>
    <row r="52" spans="5:10" ht="17" x14ac:dyDescent="0.25">
      <c r="E52" s="11" t="s">
        <v>196</v>
      </c>
    </row>
    <row r="53" spans="5:10" ht="17" x14ac:dyDescent="0.25">
      <c r="E53" s="11" t="s">
        <v>197</v>
      </c>
      <c r="J53" s="11" t="s">
        <v>609</v>
      </c>
    </row>
    <row r="54" spans="5:10" ht="17" x14ac:dyDescent="0.25">
      <c r="J54" s="11" t="s">
        <v>122</v>
      </c>
    </row>
    <row r="55" spans="5:10" ht="17" x14ac:dyDescent="0.25">
      <c r="E55" s="11" t="s">
        <v>155</v>
      </c>
      <c r="J55" s="11" t="s">
        <v>610</v>
      </c>
    </row>
    <row r="56" spans="5:10" ht="17" x14ac:dyDescent="0.25">
      <c r="E56" s="11" t="s">
        <v>80</v>
      </c>
      <c r="J56" s="11" t="s">
        <v>611</v>
      </c>
    </row>
    <row r="57" spans="5:10" ht="17" x14ac:dyDescent="0.25">
      <c r="E57" s="11" t="s">
        <v>198</v>
      </c>
      <c r="J57" s="11" t="s">
        <v>612</v>
      </c>
    </row>
    <row r="58" spans="5:10" ht="17" x14ac:dyDescent="0.25">
      <c r="E58" s="11" t="s">
        <v>199</v>
      </c>
    </row>
    <row r="59" spans="5:10" ht="17" x14ac:dyDescent="0.25">
      <c r="E59" s="11" t="s">
        <v>200</v>
      </c>
    </row>
    <row r="60" spans="5:10" ht="17" x14ac:dyDescent="0.25">
      <c r="J60" s="16" t="s">
        <v>613</v>
      </c>
    </row>
    <row r="61" spans="5:10" ht="17" x14ac:dyDescent="0.25">
      <c r="J61" s="11" t="s">
        <v>614</v>
      </c>
    </row>
    <row r="62" spans="5:10" ht="17" x14ac:dyDescent="0.25">
      <c r="E62" s="16" t="s">
        <v>201</v>
      </c>
      <c r="J62" s="11" t="s">
        <v>106</v>
      </c>
    </row>
    <row r="63" spans="5:10" ht="17" x14ac:dyDescent="0.25">
      <c r="E63" s="11" t="s">
        <v>202</v>
      </c>
      <c r="J63" s="11" t="s">
        <v>615</v>
      </c>
    </row>
    <row r="64" spans="5:10" ht="17" x14ac:dyDescent="0.25">
      <c r="E64" s="11" t="s">
        <v>203</v>
      </c>
      <c r="J64" s="11" t="s">
        <v>616</v>
      </c>
    </row>
    <row r="65" spans="5:10" ht="17" x14ac:dyDescent="0.25">
      <c r="E65" s="11" t="s">
        <v>204</v>
      </c>
      <c r="J65" s="11" t="s">
        <v>617</v>
      </c>
    </row>
    <row r="66" spans="5:10" ht="17" x14ac:dyDescent="0.25">
      <c r="E66" s="11" t="s">
        <v>205</v>
      </c>
    </row>
    <row r="67" spans="5:10" ht="17" x14ac:dyDescent="0.25">
      <c r="E67" s="11" t="s">
        <v>206</v>
      </c>
      <c r="J67" s="11" t="s">
        <v>618</v>
      </c>
    </row>
    <row r="68" spans="5:10" ht="17" x14ac:dyDescent="0.25">
      <c r="J68" s="11" t="s">
        <v>105</v>
      </c>
    </row>
    <row r="69" spans="5:10" ht="17" x14ac:dyDescent="0.25">
      <c r="E69" s="11" t="s">
        <v>207</v>
      </c>
      <c r="J69" s="11" t="s">
        <v>619</v>
      </c>
    </row>
    <row r="70" spans="5:10" ht="17" x14ac:dyDescent="0.25">
      <c r="E70" s="11" t="s">
        <v>80</v>
      </c>
      <c r="J70" s="11" t="s">
        <v>620</v>
      </c>
    </row>
    <row r="71" spans="5:10" ht="17" x14ac:dyDescent="0.25">
      <c r="E71" s="11" t="s">
        <v>208</v>
      </c>
      <c r="J71" s="11" t="s">
        <v>621</v>
      </c>
    </row>
    <row r="72" spans="5:10" ht="17" x14ac:dyDescent="0.25">
      <c r="E72" s="11" t="s">
        <v>209</v>
      </c>
    </row>
    <row r="73" spans="5:10" ht="17" x14ac:dyDescent="0.25">
      <c r="E73" s="11" t="s">
        <v>210</v>
      </c>
      <c r="J73" s="11" t="s">
        <v>622</v>
      </c>
    </row>
    <row r="74" spans="5:10" ht="17" x14ac:dyDescent="0.25">
      <c r="J74" s="11" t="s">
        <v>107</v>
      </c>
    </row>
    <row r="75" spans="5:10" ht="17" x14ac:dyDescent="0.25">
      <c r="E75" s="11" t="s">
        <v>211</v>
      </c>
      <c r="J75" s="11" t="s">
        <v>623</v>
      </c>
    </row>
    <row r="76" spans="5:10" ht="17" x14ac:dyDescent="0.25">
      <c r="E76" s="11" t="s">
        <v>80</v>
      </c>
      <c r="J76" s="11" t="s">
        <v>624</v>
      </c>
    </row>
    <row r="77" spans="5:10" ht="17" x14ac:dyDescent="0.25">
      <c r="E77" s="11" t="s">
        <v>212</v>
      </c>
      <c r="J77" s="11" t="s">
        <v>625</v>
      </c>
    </row>
    <row r="78" spans="5:10" ht="17" x14ac:dyDescent="0.25">
      <c r="E78" s="11" t="s">
        <v>213</v>
      </c>
    </row>
    <row r="79" spans="5:10" ht="17" x14ac:dyDescent="0.25">
      <c r="E79" s="11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2B2B-A2B1-4D6E-8F57-3F548BE4C309}">
  <dimension ref="A1:J258"/>
  <sheetViews>
    <sheetView topLeftCell="A10" workbookViewId="0">
      <selection activeCell="C29" sqref="C29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3</v>
      </c>
      <c r="E1" s="13" t="s">
        <v>172</v>
      </c>
      <c r="J1" s="13" t="s">
        <v>173</v>
      </c>
    </row>
    <row r="2" spans="1:10" ht="17" x14ac:dyDescent="0.25">
      <c r="A2" t="s">
        <v>2</v>
      </c>
      <c r="B2">
        <v>3</v>
      </c>
      <c r="C2" s="1" t="s">
        <v>5</v>
      </c>
      <c r="E2" s="16" t="s">
        <v>215</v>
      </c>
      <c r="J2" s="16" t="s">
        <v>854</v>
      </c>
    </row>
    <row r="3" spans="1:10" ht="17" x14ac:dyDescent="0.25">
      <c r="A3" t="s">
        <v>2</v>
      </c>
      <c r="B3">
        <v>4</v>
      </c>
      <c r="C3" s="1" t="s">
        <v>5</v>
      </c>
      <c r="E3" s="11" t="s">
        <v>216</v>
      </c>
      <c r="J3" s="11" t="s">
        <v>626</v>
      </c>
    </row>
    <row r="4" spans="1:10" ht="17" x14ac:dyDescent="0.25">
      <c r="A4" t="s">
        <v>2</v>
      </c>
      <c r="B4">
        <v>17</v>
      </c>
      <c r="C4" s="1" t="s">
        <v>6</v>
      </c>
      <c r="E4" s="11" t="s">
        <v>127</v>
      </c>
      <c r="J4" s="11" t="s">
        <v>127</v>
      </c>
    </row>
    <row r="5" spans="1:10" ht="17" x14ac:dyDescent="0.25">
      <c r="A5" t="s">
        <v>2</v>
      </c>
      <c r="B5">
        <v>18</v>
      </c>
      <c r="C5" s="1" t="s">
        <v>4</v>
      </c>
      <c r="E5" s="11" t="s">
        <v>217</v>
      </c>
      <c r="J5" s="11" t="s">
        <v>627</v>
      </c>
    </row>
    <row r="6" spans="1:10" ht="17" x14ac:dyDescent="0.25">
      <c r="A6" t="s">
        <v>2</v>
      </c>
      <c r="B6">
        <v>19</v>
      </c>
      <c r="C6" s="1" t="s">
        <v>4</v>
      </c>
      <c r="E6" s="11" t="s">
        <v>218</v>
      </c>
      <c r="J6" s="11" t="s">
        <v>628</v>
      </c>
    </row>
    <row r="7" spans="1:10" ht="17" x14ac:dyDescent="0.25">
      <c r="A7" t="s">
        <v>2</v>
      </c>
      <c r="B7">
        <v>53</v>
      </c>
      <c r="C7" s="1" t="s">
        <v>5</v>
      </c>
      <c r="E7" s="11" t="s">
        <v>219</v>
      </c>
      <c r="J7" s="11" t="s">
        <v>629</v>
      </c>
    </row>
    <row r="8" spans="1:10" x14ac:dyDescent="0.2">
      <c r="A8" t="s">
        <v>2</v>
      </c>
      <c r="B8">
        <v>54</v>
      </c>
      <c r="C8" s="1" t="s">
        <v>5</v>
      </c>
    </row>
    <row r="9" spans="1:10" ht="17" x14ac:dyDescent="0.25">
      <c r="A9" t="s">
        <v>2</v>
      </c>
      <c r="B9">
        <v>55</v>
      </c>
      <c r="C9" s="1" t="s">
        <v>5</v>
      </c>
      <c r="E9" s="11" t="s">
        <v>220</v>
      </c>
      <c r="J9" s="11" t="s">
        <v>630</v>
      </c>
    </row>
    <row r="10" spans="1:10" ht="17" x14ac:dyDescent="0.25">
      <c r="A10" t="s">
        <v>2</v>
      </c>
      <c r="B10">
        <v>56</v>
      </c>
      <c r="C10" s="1" t="s">
        <v>4</v>
      </c>
      <c r="E10" s="11" t="s">
        <v>122</v>
      </c>
      <c r="J10" s="11" t="s">
        <v>80</v>
      </c>
    </row>
    <row r="11" spans="1:10" ht="17" x14ac:dyDescent="0.25">
      <c r="A11" t="s">
        <v>2</v>
      </c>
      <c r="B11">
        <v>68</v>
      </c>
      <c r="C11" s="1" t="s">
        <v>4</v>
      </c>
      <c r="E11" s="11" t="s">
        <v>221</v>
      </c>
      <c r="J11" s="11" t="s">
        <v>631</v>
      </c>
    </row>
    <row r="12" spans="1:10" ht="17" x14ac:dyDescent="0.25">
      <c r="A12" t="s">
        <v>2</v>
      </c>
      <c r="B12">
        <v>70</v>
      </c>
      <c r="C12" s="1" t="s">
        <v>5</v>
      </c>
      <c r="E12" s="11" t="s">
        <v>222</v>
      </c>
      <c r="J12" s="11" t="s">
        <v>632</v>
      </c>
    </row>
    <row r="13" spans="1:10" ht="17" x14ac:dyDescent="0.25">
      <c r="A13" t="s">
        <v>2</v>
      </c>
      <c r="B13">
        <v>99</v>
      </c>
      <c r="C13" s="1" t="s">
        <v>7</v>
      </c>
      <c r="E13" s="11" t="s">
        <v>223</v>
      </c>
      <c r="J13" s="11" t="s">
        <v>633</v>
      </c>
    </row>
    <row r="14" spans="1:10" x14ac:dyDescent="0.2">
      <c r="A14" t="s">
        <v>2</v>
      </c>
      <c r="B14">
        <v>122</v>
      </c>
      <c r="C14" s="1" t="s">
        <v>5</v>
      </c>
    </row>
    <row r="15" spans="1:10" ht="17" x14ac:dyDescent="0.25">
      <c r="A15" t="s">
        <v>2</v>
      </c>
      <c r="B15">
        <v>123</v>
      </c>
      <c r="C15" s="1" t="s">
        <v>5</v>
      </c>
      <c r="E15" s="11" t="s">
        <v>224</v>
      </c>
      <c r="J15" s="11" t="s">
        <v>634</v>
      </c>
    </row>
    <row r="16" spans="1:10" ht="17" x14ac:dyDescent="0.25">
      <c r="A16" t="s">
        <v>2</v>
      </c>
      <c r="B16">
        <v>124</v>
      </c>
      <c r="C16" s="1" t="s">
        <v>5</v>
      </c>
      <c r="E16" s="11" t="s">
        <v>80</v>
      </c>
      <c r="J16" s="11" t="s">
        <v>106</v>
      </c>
    </row>
    <row r="17" spans="1:10" ht="17" x14ac:dyDescent="0.25">
      <c r="A17" t="s">
        <v>2</v>
      </c>
      <c r="B17">
        <v>222</v>
      </c>
      <c r="C17" s="1" t="s">
        <v>5</v>
      </c>
      <c r="E17" s="11" t="s">
        <v>225</v>
      </c>
      <c r="J17" s="11" t="s">
        <v>635</v>
      </c>
    </row>
    <row r="18" spans="1:10" ht="17" x14ac:dyDescent="0.25">
      <c r="A18" t="s">
        <v>2</v>
      </c>
      <c r="B18">
        <v>223</v>
      </c>
      <c r="C18" s="1" t="s">
        <v>5</v>
      </c>
      <c r="E18" s="11" t="s">
        <v>226</v>
      </c>
      <c r="J18" s="11" t="s">
        <v>636</v>
      </c>
    </row>
    <row r="19" spans="1:10" ht="17" x14ac:dyDescent="0.25">
      <c r="A19" t="s">
        <v>2</v>
      </c>
      <c r="B19">
        <v>224</v>
      </c>
      <c r="C19" s="1" t="s">
        <v>7</v>
      </c>
      <c r="E19" s="11" t="s">
        <v>227</v>
      </c>
      <c r="J19" s="11" t="s">
        <v>637</v>
      </c>
    </row>
    <row r="20" spans="1:10" x14ac:dyDescent="0.2">
      <c r="A20" t="s">
        <v>2</v>
      </c>
      <c r="B20">
        <v>246</v>
      </c>
      <c r="C20" s="1" t="s">
        <v>5</v>
      </c>
    </row>
    <row r="21" spans="1:10" x14ac:dyDescent="0.2">
      <c r="A21" t="s">
        <v>2</v>
      </c>
      <c r="B21">
        <v>247</v>
      </c>
      <c r="C21" s="1" t="s">
        <v>5</v>
      </c>
    </row>
    <row r="22" spans="1:10" ht="17" x14ac:dyDescent="0.25">
      <c r="A22" t="s">
        <v>2</v>
      </c>
      <c r="B22">
        <v>248</v>
      </c>
      <c r="C22" s="1" t="s">
        <v>4</v>
      </c>
      <c r="E22" s="16" t="s">
        <v>228</v>
      </c>
      <c r="J22" s="14" t="s">
        <v>108</v>
      </c>
    </row>
    <row r="23" spans="1:10" ht="17" x14ac:dyDescent="0.25">
      <c r="C23" s="1"/>
      <c r="E23" s="11" t="s">
        <v>229</v>
      </c>
      <c r="J23" s="11" t="s">
        <v>109</v>
      </c>
    </row>
    <row r="24" spans="1:10" ht="17" x14ac:dyDescent="0.25">
      <c r="A24" t="s">
        <v>8</v>
      </c>
      <c r="B24">
        <v>30</v>
      </c>
      <c r="C24" s="1" t="s">
        <v>5</v>
      </c>
      <c r="E24" s="11" t="s">
        <v>75</v>
      </c>
      <c r="J24" s="11" t="s">
        <v>151</v>
      </c>
    </row>
    <row r="25" spans="1:10" ht="17" x14ac:dyDescent="0.25">
      <c r="A25" t="s">
        <v>8</v>
      </c>
      <c r="B25">
        <v>31</v>
      </c>
      <c r="C25" s="1" t="s">
        <v>4</v>
      </c>
      <c r="E25" s="11" t="s">
        <v>230</v>
      </c>
      <c r="J25" s="11" t="s">
        <v>638</v>
      </c>
    </row>
    <row r="26" spans="1:10" ht="17" x14ac:dyDescent="0.25">
      <c r="A26" t="s">
        <v>8</v>
      </c>
      <c r="B26">
        <v>32</v>
      </c>
      <c r="C26" s="1" t="s">
        <v>5</v>
      </c>
      <c r="E26" s="11" t="s">
        <v>231</v>
      </c>
      <c r="J26" s="11" t="s">
        <v>639</v>
      </c>
    </row>
    <row r="27" spans="1:10" ht="17" x14ac:dyDescent="0.25">
      <c r="A27" t="s">
        <v>8</v>
      </c>
      <c r="B27">
        <v>57</v>
      </c>
      <c r="C27" s="1" t="s">
        <v>4</v>
      </c>
      <c r="E27" s="11" t="s">
        <v>232</v>
      </c>
      <c r="J27" s="11" t="s">
        <v>640</v>
      </c>
    </row>
    <row r="28" spans="1:10" x14ac:dyDescent="0.2">
      <c r="A28" t="s">
        <v>8</v>
      </c>
      <c r="B28">
        <v>58</v>
      </c>
      <c r="C28" s="1" t="s">
        <v>5</v>
      </c>
    </row>
    <row r="29" spans="1:10" ht="17" x14ac:dyDescent="0.25">
      <c r="A29" t="s">
        <v>8</v>
      </c>
      <c r="B29">
        <v>59</v>
      </c>
      <c r="C29" s="1" t="s">
        <v>7</v>
      </c>
      <c r="E29" s="11" t="s">
        <v>233</v>
      </c>
      <c r="J29" s="11" t="s">
        <v>110</v>
      </c>
    </row>
    <row r="30" spans="1:10" ht="17" x14ac:dyDescent="0.25">
      <c r="A30" t="s">
        <v>8</v>
      </c>
      <c r="B30">
        <v>69</v>
      </c>
      <c r="C30" s="1" t="s">
        <v>4</v>
      </c>
      <c r="E30" s="11" t="s">
        <v>80</v>
      </c>
      <c r="J30" s="11" t="s">
        <v>122</v>
      </c>
    </row>
    <row r="31" spans="1:10" ht="17" x14ac:dyDescent="0.25">
      <c r="A31" t="s">
        <v>8</v>
      </c>
      <c r="B31">
        <v>71</v>
      </c>
      <c r="C31" s="1" t="s">
        <v>5</v>
      </c>
      <c r="E31" s="11" t="s">
        <v>234</v>
      </c>
      <c r="J31" s="11" t="s">
        <v>641</v>
      </c>
    </row>
    <row r="32" spans="1:10" ht="17" x14ac:dyDescent="0.25">
      <c r="A32" t="s">
        <v>8</v>
      </c>
      <c r="B32">
        <v>125</v>
      </c>
      <c r="C32" s="1" t="s">
        <v>5</v>
      </c>
      <c r="E32" s="11" t="s">
        <v>235</v>
      </c>
      <c r="J32" s="11" t="s">
        <v>642</v>
      </c>
    </row>
    <row r="33" spans="1:10" ht="17" x14ac:dyDescent="0.25">
      <c r="A33" t="s">
        <v>8</v>
      </c>
      <c r="B33">
        <v>126</v>
      </c>
      <c r="C33" s="1" t="s">
        <v>5</v>
      </c>
      <c r="E33" s="11" t="s">
        <v>236</v>
      </c>
      <c r="J33" s="11" t="s">
        <v>643</v>
      </c>
    </row>
    <row r="34" spans="1:10" x14ac:dyDescent="0.2">
      <c r="A34" t="s">
        <v>8</v>
      </c>
      <c r="B34">
        <v>127</v>
      </c>
      <c r="C34" s="1" t="s">
        <v>5</v>
      </c>
    </row>
    <row r="35" spans="1:10" ht="17" x14ac:dyDescent="0.25">
      <c r="A35" t="s">
        <v>8</v>
      </c>
      <c r="B35">
        <v>249</v>
      </c>
      <c r="C35" s="1" t="s">
        <v>4</v>
      </c>
      <c r="E35" s="11" t="s">
        <v>237</v>
      </c>
      <c r="J35" s="11" t="s">
        <v>111</v>
      </c>
    </row>
    <row r="36" spans="1:10" ht="17" x14ac:dyDescent="0.25">
      <c r="A36" t="s">
        <v>8</v>
      </c>
      <c r="B36">
        <v>250</v>
      </c>
      <c r="C36" s="1" t="s">
        <v>4</v>
      </c>
      <c r="E36" s="11" t="s">
        <v>80</v>
      </c>
      <c r="J36" s="11" t="s">
        <v>122</v>
      </c>
    </row>
    <row r="37" spans="1:10" ht="17" x14ac:dyDescent="0.25">
      <c r="A37" t="s">
        <v>8</v>
      </c>
      <c r="B37">
        <v>251</v>
      </c>
      <c r="C37" s="1" t="s">
        <v>5</v>
      </c>
      <c r="E37" s="11" t="s">
        <v>238</v>
      </c>
      <c r="J37" s="11" t="s">
        <v>644</v>
      </c>
    </row>
    <row r="38" spans="1:10" ht="17" x14ac:dyDescent="0.25">
      <c r="E38" s="11" t="s">
        <v>239</v>
      </c>
      <c r="J38" s="11" t="s">
        <v>645</v>
      </c>
    </row>
    <row r="39" spans="1:10" ht="17" x14ac:dyDescent="0.25">
      <c r="E39" s="11" t="s">
        <v>240</v>
      </c>
      <c r="J39" s="11" t="s">
        <v>646</v>
      </c>
    </row>
    <row r="41" spans="1:10" ht="17" x14ac:dyDescent="0.25">
      <c r="E41" s="16" t="s">
        <v>241</v>
      </c>
    </row>
    <row r="42" spans="1:10" ht="17" x14ac:dyDescent="0.25">
      <c r="E42" s="11" t="s">
        <v>242</v>
      </c>
      <c r="J42" s="14" t="s">
        <v>647</v>
      </c>
    </row>
    <row r="43" spans="1:10" ht="17" x14ac:dyDescent="0.25">
      <c r="E43" s="11" t="s">
        <v>104</v>
      </c>
      <c r="J43" s="11" t="s">
        <v>648</v>
      </c>
    </row>
    <row r="44" spans="1:10" ht="17" x14ac:dyDescent="0.25">
      <c r="E44" s="11" t="s">
        <v>243</v>
      </c>
      <c r="J44" s="11" t="s">
        <v>91</v>
      </c>
    </row>
    <row r="45" spans="1:10" ht="17" x14ac:dyDescent="0.25">
      <c r="E45" s="11" t="s">
        <v>244</v>
      </c>
      <c r="J45" s="11" t="s">
        <v>649</v>
      </c>
    </row>
    <row r="46" spans="1:10" ht="17" x14ac:dyDescent="0.25">
      <c r="E46" s="11" t="s">
        <v>245</v>
      </c>
      <c r="J46" s="11" t="s">
        <v>650</v>
      </c>
    </row>
    <row r="47" spans="1:10" ht="17" x14ac:dyDescent="0.25">
      <c r="J47" s="11" t="s">
        <v>651</v>
      </c>
    </row>
    <row r="48" spans="1:10" ht="17" x14ac:dyDescent="0.25">
      <c r="E48" s="11" t="s">
        <v>246</v>
      </c>
    </row>
    <row r="49" spans="5:10" ht="17" x14ac:dyDescent="0.25">
      <c r="E49" s="11" t="s">
        <v>85</v>
      </c>
      <c r="J49" s="11" t="s">
        <v>652</v>
      </c>
    </row>
    <row r="50" spans="5:10" ht="17" x14ac:dyDescent="0.25">
      <c r="E50" s="11" t="s">
        <v>247</v>
      </c>
      <c r="J50" s="11" t="s">
        <v>80</v>
      </c>
    </row>
    <row r="51" spans="5:10" ht="17" x14ac:dyDescent="0.25">
      <c r="E51" s="11" t="s">
        <v>248</v>
      </c>
      <c r="J51" s="11" t="s">
        <v>653</v>
      </c>
    </row>
    <row r="52" spans="5:10" ht="17" x14ac:dyDescent="0.25">
      <c r="E52" s="11" t="s">
        <v>249</v>
      </c>
      <c r="J52" s="11" t="s">
        <v>654</v>
      </c>
    </row>
    <row r="53" spans="5:10" ht="17" x14ac:dyDescent="0.25">
      <c r="J53" s="11" t="s">
        <v>655</v>
      </c>
    </row>
    <row r="54" spans="5:10" ht="17" x14ac:dyDescent="0.25">
      <c r="E54" s="11" t="s">
        <v>250</v>
      </c>
    </row>
    <row r="55" spans="5:10" ht="17" x14ac:dyDescent="0.25">
      <c r="E55" s="11" t="s">
        <v>104</v>
      </c>
      <c r="J55" s="11" t="s">
        <v>656</v>
      </c>
    </row>
    <row r="56" spans="5:10" ht="17" x14ac:dyDescent="0.25">
      <c r="E56" s="11" t="s">
        <v>251</v>
      </c>
      <c r="J56" s="11" t="s">
        <v>107</v>
      </c>
    </row>
    <row r="57" spans="5:10" ht="17" x14ac:dyDescent="0.25">
      <c r="E57" s="11" t="s">
        <v>252</v>
      </c>
      <c r="J57" s="11" t="s">
        <v>657</v>
      </c>
    </row>
    <row r="58" spans="5:10" ht="17" x14ac:dyDescent="0.25">
      <c r="E58" s="11" t="s">
        <v>253</v>
      </c>
      <c r="J58" s="11" t="s">
        <v>658</v>
      </c>
    </row>
    <row r="59" spans="5:10" ht="17" x14ac:dyDescent="0.25">
      <c r="J59" s="11" t="s">
        <v>659</v>
      </c>
    </row>
    <row r="61" spans="5:10" ht="17" x14ac:dyDescent="0.25">
      <c r="E61" s="16" t="s">
        <v>254</v>
      </c>
    </row>
    <row r="62" spans="5:10" ht="17" x14ac:dyDescent="0.25">
      <c r="E62" s="11" t="s">
        <v>255</v>
      </c>
      <c r="J62" s="16" t="s">
        <v>660</v>
      </c>
    </row>
    <row r="63" spans="5:10" ht="17" x14ac:dyDescent="0.25">
      <c r="E63" s="11" t="s">
        <v>151</v>
      </c>
      <c r="J63" s="11" t="s">
        <v>661</v>
      </c>
    </row>
    <row r="64" spans="5:10" ht="17" x14ac:dyDescent="0.25">
      <c r="E64" s="11" t="s">
        <v>256</v>
      </c>
      <c r="J64" s="11" t="s">
        <v>127</v>
      </c>
    </row>
    <row r="65" spans="5:10" ht="17" x14ac:dyDescent="0.25">
      <c r="E65" s="11" t="s">
        <v>257</v>
      </c>
      <c r="J65" s="11" t="s">
        <v>662</v>
      </c>
    </row>
    <row r="66" spans="5:10" ht="17" x14ac:dyDescent="0.25">
      <c r="E66" s="11" t="s">
        <v>258</v>
      </c>
      <c r="J66" s="11" t="s">
        <v>663</v>
      </c>
    </row>
    <row r="67" spans="5:10" ht="17" x14ac:dyDescent="0.25">
      <c r="J67" s="11" t="s">
        <v>664</v>
      </c>
    </row>
    <row r="68" spans="5:10" ht="17" x14ac:dyDescent="0.25">
      <c r="E68" s="11" t="s">
        <v>259</v>
      </c>
    </row>
    <row r="69" spans="5:10" ht="17" x14ac:dyDescent="0.25">
      <c r="E69" s="11" t="s">
        <v>80</v>
      </c>
      <c r="J69" s="11" t="s">
        <v>665</v>
      </c>
    </row>
    <row r="70" spans="5:10" ht="17" x14ac:dyDescent="0.25">
      <c r="E70" s="11" t="s">
        <v>260</v>
      </c>
      <c r="J70" s="11" t="s">
        <v>80</v>
      </c>
    </row>
    <row r="71" spans="5:10" ht="17" x14ac:dyDescent="0.25">
      <c r="E71" s="11" t="s">
        <v>261</v>
      </c>
      <c r="J71" s="11" t="s">
        <v>666</v>
      </c>
    </row>
    <row r="72" spans="5:10" ht="17" x14ac:dyDescent="0.25">
      <c r="E72" s="11" t="s">
        <v>262</v>
      </c>
      <c r="J72" s="11" t="s">
        <v>667</v>
      </c>
    </row>
    <row r="73" spans="5:10" ht="17" x14ac:dyDescent="0.25">
      <c r="J73" s="11" t="s">
        <v>668</v>
      </c>
    </row>
    <row r="74" spans="5:10" ht="17" x14ac:dyDescent="0.25">
      <c r="E74" s="11" t="s">
        <v>263</v>
      </c>
    </row>
    <row r="75" spans="5:10" ht="17" x14ac:dyDescent="0.25">
      <c r="E75" s="11" t="s">
        <v>122</v>
      </c>
      <c r="J75" s="11" t="s">
        <v>669</v>
      </c>
    </row>
    <row r="76" spans="5:10" ht="17" x14ac:dyDescent="0.25">
      <c r="E76" s="11" t="s">
        <v>264</v>
      </c>
      <c r="J76" s="11" t="s">
        <v>104</v>
      </c>
    </row>
    <row r="77" spans="5:10" ht="17" x14ac:dyDescent="0.25">
      <c r="E77" s="11" t="s">
        <v>265</v>
      </c>
      <c r="J77" s="11" t="s">
        <v>670</v>
      </c>
    </row>
    <row r="78" spans="5:10" ht="17" x14ac:dyDescent="0.25">
      <c r="E78" s="11" t="s">
        <v>266</v>
      </c>
      <c r="J78" s="11" t="s">
        <v>671</v>
      </c>
    </row>
    <row r="79" spans="5:10" ht="17" x14ac:dyDescent="0.25">
      <c r="J79" s="11" t="s">
        <v>672</v>
      </c>
    </row>
    <row r="81" spans="5:10" ht="17" x14ac:dyDescent="0.25">
      <c r="E81" s="16" t="s">
        <v>267</v>
      </c>
    </row>
    <row r="82" spans="5:10" ht="17" x14ac:dyDescent="0.25">
      <c r="E82" s="11" t="s">
        <v>268</v>
      </c>
      <c r="J82" s="14" t="s">
        <v>673</v>
      </c>
    </row>
    <row r="83" spans="5:10" ht="17" x14ac:dyDescent="0.25">
      <c r="E83" s="11" t="s">
        <v>127</v>
      </c>
      <c r="J83" s="11" t="s">
        <v>674</v>
      </c>
    </row>
    <row r="84" spans="5:10" ht="17" x14ac:dyDescent="0.25">
      <c r="E84" s="11" t="s">
        <v>269</v>
      </c>
      <c r="J84" s="11" t="s">
        <v>127</v>
      </c>
    </row>
    <row r="85" spans="5:10" ht="17" x14ac:dyDescent="0.25">
      <c r="E85" s="11" t="s">
        <v>270</v>
      </c>
      <c r="J85" s="11" t="s">
        <v>675</v>
      </c>
    </row>
    <row r="86" spans="5:10" ht="17" x14ac:dyDescent="0.25">
      <c r="E86" s="11" t="s">
        <v>271</v>
      </c>
      <c r="J86" s="11" t="s">
        <v>676</v>
      </c>
    </row>
    <row r="87" spans="5:10" ht="17" x14ac:dyDescent="0.25">
      <c r="J87" s="11" t="s">
        <v>677</v>
      </c>
    </row>
    <row r="88" spans="5:10" ht="17" x14ac:dyDescent="0.25">
      <c r="E88" s="11" t="s">
        <v>272</v>
      </c>
    </row>
    <row r="89" spans="5:10" ht="17" x14ac:dyDescent="0.25">
      <c r="E89" s="11" t="s">
        <v>80</v>
      </c>
      <c r="J89" s="11" t="s">
        <v>678</v>
      </c>
    </row>
    <row r="90" spans="5:10" ht="17" x14ac:dyDescent="0.25">
      <c r="E90" s="11" t="s">
        <v>273</v>
      </c>
      <c r="J90" s="11" t="s">
        <v>80</v>
      </c>
    </row>
    <row r="91" spans="5:10" ht="17" x14ac:dyDescent="0.25">
      <c r="E91" s="11" t="s">
        <v>274</v>
      </c>
      <c r="J91" s="11" t="s">
        <v>679</v>
      </c>
    </row>
    <row r="92" spans="5:10" ht="17" x14ac:dyDescent="0.25">
      <c r="E92" s="11" t="s">
        <v>275</v>
      </c>
      <c r="J92" s="11" t="s">
        <v>680</v>
      </c>
    </row>
    <row r="93" spans="5:10" ht="17" x14ac:dyDescent="0.25">
      <c r="J93" s="11" t="s">
        <v>681</v>
      </c>
    </row>
    <row r="94" spans="5:10" ht="17" x14ac:dyDescent="0.25">
      <c r="E94" s="11" t="s">
        <v>276</v>
      </c>
    </row>
    <row r="95" spans="5:10" ht="17" x14ac:dyDescent="0.25">
      <c r="E95" s="11" t="s">
        <v>122</v>
      </c>
      <c r="J95" s="11" t="s">
        <v>682</v>
      </c>
    </row>
    <row r="96" spans="5:10" ht="17" x14ac:dyDescent="0.25">
      <c r="E96" s="11" t="s">
        <v>277</v>
      </c>
      <c r="J96" s="11" t="s">
        <v>80</v>
      </c>
    </row>
    <row r="97" spans="5:10" ht="17" x14ac:dyDescent="0.25">
      <c r="E97" s="11" t="s">
        <v>278</v>
      </c>
      <c r="J97" s="11" t="s">
        <v>683</v>
      </c>
    </row>
    <row r="98" spans="5:10" ht="17" x14ac:dyDescent="0.25">
      <c r="E98" s="11" t="s">
        <v>279</v>
      </c>
      <c r="J98" s="11" t="s">
        <v>684</v>
      </c>
    </row>
    <row r="99" spans="5:10" ht="17" x14ac:dyDescent="0.25">
      <c r="J99" s="11" t="s">
        <v>685</v>
      </c>
    </row>
    <row r="101" spans="5:10" ht="17" x14ac:dyDescent="0.25">
      <c r="E101" s="16" t="s">
        <v>280</v>
      </c>
    </row>
    <row r="102" spans="5:10" ht="17" x14ac:dyDescent="0.25">
      <c r="E102" s="11" t="s">
        <v>281</v>
      </c>
      <c r="J102" s="14" t="s">
        <v>686</v>
      </c>
    </row>
    <row r="103" spans="5:10" ht="17" x14ac:dyDescent="0.25">
      <c r="E103" s="11" t="s">
        <v>127</v>
      </c>
      <c r="J103" s="11" t="s">
        <v>687</v>
      </c>
    </row>
    <row r="104" spans="5:10" ht="17" x14ac:dyDescent="0.25">
      <c r="E104" s="11" t="s">
        <v>282</v>
      </c>
      <c r="J104" s="11" t="s">
        <v>127</v>
      </c>
    </row>
    <row r="105" spans="5:10" ht="17" x14ac:dyDescent="0.25">
      <c r="E105" s="11" t="s">
        <v>283</v>
      </c>
      <c r="J105" s="11" t="s">
        <v>688</v>
      </c>
    </row>
    <row r="106" spans="5:10" ht="17" x14ac:dyDescent="0.25">
      <c r="E106" s="11" t="s">
        <v>284</v>
      </c>
      <c r="J106" s="11" t="s">
        <v>689</v>
      </c>
    </row>
    <row r="107" spans="5:10" ht="17" x14ac:dyDescent="0.25">
      <c r="J107" s="11" t="s">
        <v>690</v>
      </c>
    </row>
    <row r="108" spans="5:10" ht="17" x14ac:dyDescent="0.25">
      <c r="E108" s="11" t="s">
        <v>285</v>
      </c>
    </row>
    <row r="109" spans="5:10" ht="17" x14ac:dyDescent="0.25">
      <c r="E109" s="11" t="s">
        <v>80</v>
      </c>
      <c r="J109" s="11" t="s">
        <v>691</v>
      </c>
    </row>
    <row r="110" spans="5:10" ht="17" x14ac:dyDescent="0.25">
      <c r="E110" s="11" t="s">
        <v>286</v>
      </c>
      <c r="J110" s="11" t="s">
        <v>80</v>
      </c>
    </row>
    <row r="111" spans="5:10" ht="17" x14ac:dyDescent="0.25">
      <c r="E111" s="11" t="s">
        <v>287</v>
      </c>
      <c r="J111" s="11" t="s">
        <v>692</v>
      </c>
    </row>
    <row r="112" spans="5:10" ht="17" x14ac:dyDescent="0.25">
      <c r="E112" s="11" t="s">
        <v>288</v>
      </c>
      <c r="J112" s="11" t="s">
        <v>693</v>
      </c>
    </row>
    <row r="113" spans="5:10" ht="17" x14ac:dyDescent="0.25">
      <c r="J113" s="11" t="s">
        <v>694</v>
      </c>
    </row>
    <row r="114" spans="5:10" ht="17" x14ac:dyDescent="0.25">
      <c r="E114" s="11" t="s">
        <v>289</v>
      </c>
    </row>
    <row r="115" spans="5:10" ht="17" x14ac:dyDescent="0.25">
      <c r="E115" s="11" t="s">
        <v>104</v>
      </c>
      <c r="J115" s="11" t="s">
        <v>695</v>
      </c>
    </row>
    <row r="116" spans="5:10" ht="17" x14ac:dyDescent="0.25">
      <c r="E116" s="11" t="s">
        <v>290</v>
      </c>
      <c r="J116" s="11" t="s">
        <v>203</v>
      </c>
    </row>
    <row r="117" spans="5:10" ht="17" x14ac:dyDescent="0.25">
      <c r="E117" s="11" t="s">
        <v>291</v>
      </c>
      <c r="J117" s="11" t="s">
        <v>696</v>
      </c>
    </row>
    <row r="118" spans="5:10" ht="17" x14ac:dyDescent="0.25">
      <c r="E118" s="11" t="s">
        <v>292</v>
      </c>
      <c r="J118" s="11" t="s">
        <v>697</v>
      </c>
    </row>
    <row r="119" spans="5:10" ht="17" x14ac:dyDescent="0.25">
      <c r="J119" s="11" t="s">
        <v>698</v>
      </c>
    </row>
    <row r="121" spans="5:10" ht="17" x14ac:dyDescent="0.25">
      <c r="E121" s="16" t="s">
        <v>293</v>
      </c>
    </row>
    <row r="122" spans="5:10" ht="17" x14ac:dyDescent="0.25">
      <c r="E122" s="11" t="s">
        <v>294</v>
      </c>
      <c r="J122" s="14" t="s">
        <v>699</v>
      </c>
    </row>
    <row r="123" spans="5:10" ht="17" x14ac:dyDescent="0.25">
      <c r="E123" s="11" t="s">
        <v>85</v>
      </c>
      <c r="J123" s="11" t="s">
        <v>700</v>
      </c>
    </row>
    <row r="124" spans="5:10" ht="17" x14ac:dyDescent="0.25">
      <c r="E124" s="11" t="s">
        <v>295</v>
      </c>
      <c r="J124" s="11" t="s">
        <v>75</v>
      </c>
    </row>
    <row r="125" spans="5:10" ht="17" x14ac:dyDescent="0.25">
      <c r="E125" s="11" t="s">
        <v>296</v>
      </c>
      <c r="J125" s="11" t="s">
        <v>701</v>
      </c>
    </row>
    <row r="126" spans="5:10" ht="17" x14ac:dyDescent="0.25">
      <c r="E126" s="11" t="s">
        <v>297</v>
      </c>
      <c r="J126" s="11" t="s">
        <v>702</v>
      </c>
    </row>
    <row r="127" spans="5:10" ht="17" x14ac:dyDescent="0.25">
      <c r="J127" s="11" t="s">
        <v>703</v>
      </c>
    </row>
    <row r="128" spans="5:10" ht="17" x14ac:dyDescent="0.25">
      <c r="E128" s="11" t="s">
        <v>298</v>
      </c>
    </row>
    <row r="129" spans="5:10" ht="17" x14ac:dyDescent="0.25">
      <c r="E129" s="11" t="s">
        <v>80</v>
      </c>
      <c r="J129" s="11" t="s">
        <v>704</v>
      </c>
    </row>
    <row r="130" spans="5:10" ht="17" x14ac:dyDescent="0.25">
      <c r="E130" s="11" t="s">
        <v>299</v>
      </c>
      <c r="J130" s="11" t="s">
        <v>80</v>
      </c>
    </row>
    <row r="131" spans="5:10" ht="17" x14ac:dyDescent="0.25">
      <c r="E131" s="11" t="s">
        <v>300</v>
      </c>
      <c r="J131" s="11" t="s">
        <v>705</v>
      </c>
    </row>
    <row r="132" spans="5:10" ht="17" x14ac:dyDescent="0.25">
      <c r="E132" s="11" t="s">
        <v>301</v>
      </c>
      <c r="J132" s="11" t="s">
        <v>706</v>
      </c>
    </row>
    <row r="133" spans="5:10" ht="17" x14ac:dyDescent="0.25">
      <c r="J133" s="11" t="s">
        <v>707</v>
      </c>
    </row>
    <row r="134" spans="5:10" ht="17" x14ac:dyDescent="0.25">
      <c r="E134" s="11" t="s">
        <v>302</v>
      </c>
    </row>
    <row r="135" spans="5:10" ht="17" x14ac:dyDescent="0.25">
      <c r="E135" s="11" t="s">
        <v>80</v>
      </c>
      <c r="J135" s="11" t="s">
        <v>708</v>
      </c>
    </row>
    <row r="136" spans="5:10" ht="17" x14ac:dyDescent="0.25">
      <c r="E136" s="11" t="s">
        <v>303</v>
      </c>
      <c r="J136" s="11" t="s">
        <v>105</v>
      </c>
    </row>
    <row r="137" spans="5:10" ht="17" x14ac:dyDescent="0.25">
      <c r="E137" s="11" t="s">
        <v>304</v>
      </c>
      <c r="J137" s="11" t="s">
        <v>709</v>
      </c>
    </row>
    <row r="138" spans="5:10" ht="17" x14ac:dyDescent="0.25">
      <c r="E138" s="11" t="s">
        <v>305</v>
      </c>
      <c r="J138" s="11" t="s">
        <v>710</v>
      </c>
    </row>
    <row r="139" spans="5:10" ht="17" x14ac:dyDescent="0.25">
      <c r="J139" s="11" t="s">
        <v>711</v>
      </c>
    </row>
    <row r="141" spans="5:10" ht="17" x14ac:dyDescent="0.25">
      <c r="E141" s="16" t="s">
        <v>306</v>
      </c>
    </row>
    <row r="142" spans="5:10" ht="17" x14ac:dyDescent="0.25">
      <c r="E142" s="11" t="s">
        <v>307</v>
      </c>
      <c r="J142" s="14" t="s">
        <v>712</v>
      </c>
    </row>
    <row r="143" spans="5:10" ht="17" x14ac:dyDescent="0.25">
      <c r="E143" s="11" t="s">
        <v>127</v>
      </c>
      <c r="J143" s="11" t="s">
        <v>713</v>
      </c>
    </row>
    <row r="144" spans="5:10" ht="17" x14ac:dyDescent="0.25">
      <c r="E144" s="11" t="s">
        <v>308</v>
      </c>
      <c r="J144" s="11" t="s">
        <v>127</v>
      </c>
    </row>
    <row r="145" spans="5:10" ht="17" x14ac:dyDescent="0.25">
      <c r="E145" s="11" t="s">
        <v>309</v>
      </c>
      <c r="J145" s="11" t="s">
        <v>714</v>
      </c>
    </row>
    <row r="146" spans="5:10" ht="17" x14ac:dyDescent="0.25">
      <c r="E146" s="11" t="s">
        <v>310</v>
      </c>
      <c r="J146" s="11" t="s">
        <v>715</v>
      </c>
    </row>
    <row r="147" spans="5:10" ht="17" x14ac:dyDescent="0.25">
      <c r="J147" s="11" t="s">
        <v>716</v>
      </c>
    </row>
    <row r="148" spans="5:10" ht="17" x14ac:dyDescent="0.25">
      <c r="E148" s="11" t="s">
        <v>311</v>
      </c>
    </row>
    <row r="149" spans="5:10" ht="17" x14ac:dyDescent="0.25">
      <c r="E149" s="11" t="s">
        <v>80</v>
      </c>
      <c r="J149" s="11" t="s">
        <v>717</v>
      </c>
    </row>
    <row r="150" spans="5:10" ht="17" x14ac:dyDescent="0.25">
      <c r="E150" s="11" t="s">
        <v>312</v>
      </c>
      <c r="J150" s="11" t="s">
        <v>80</v>
      </c>
    </row>
    <row r="151" spans="5:10" ht="17" x14ac:dyDescent="0.25">
      <c r="E151" s="11" t="s">
        <v>313</v>
      </c>
      <c r="J151" s="11" t="s">
        <v>718</v>
      </c>
    </row>
    <row r="152" spans="5:10" ht="17" x14ac:dyDescent="0.25">
      <c r="E152" s="11" t="s">
        <v>314</v>
      </c>
      <c r="J152" s="11" t="s">
        <v>719</v>
      </c>
    </row>
    <row r="153" spans="5:10" ht="17" x14ac:dyDescent="0.25">
      <c r="J153" s="11" t="s">
        <v>720</v>
      </c>
    </row>
    <row r="154" spans="5:10" ht="17" x14ac:dyDescent="0.25">
      <c r="E154" s="11" t="s">
        <v>315</v>
      </c>
    </row>
    <row r="155" spans="5:10" ht="17" x14ac:dyDescent="0.25">
      <c r="E155" s="11" t="s">
        <v>80</v>
      </c>
      <c r="J155" s="11" t="s">
        <v>721</v>
      </c>
    </row>
    <row r="156" spans="5:10" ht="17" x14ac:dyDescent="0.25">
      <c r="E156" s="11" t="s">
        <v>316</v>
      </c>
      <c r="J156" s="11" t="s">
        <v>107</v>
      </c>
    </row>
    <row r="157" spans="5:10" ht="17" x14ac:dyDescent="0.25">
      <c r="E157" s="11" t="s">
        <v>317</v>
      </c>
      <c r="J157" s="11" t="s">
        <v>722</v>
      </c>
    </row>
    <row r="158" spans="5:10" ht="17" x14ac:dyDescent="0.25">
      <c r="E158" s="11" t="s">
        <v>318</v>
      </c>
      <c r="J158" s="11" t="s">
        <v>723</v>
      </c>
    </row>
    <row r="159" spans="5:10" ht="17" x14ac:dyDescent="0.25">
      <c r="J159" s="11" t="s">
        <v>724</v>
      </c>
    </row>
    <row r="161" spans="5:5" ht="17" x14ac:dyDescent="0.25">
      <c r="E161" s="16" t="s">
        <v>319</v>
      </c>
    </row>
    <row r="162" spans="5:5" ht="17" x14ac:dyDescent="0.25">
      <c r="E162" s="11" t="s">
        <v>320</v>
      </c>
    </row>
    <row r="163" spans="5:5" ht="17" x14ac:dyDescent="0.25">
      <c r="E163" s="11" t="s">
        <v>127</v>
      </c>
    </row>
    <row r="164" spans="5:5" ht="17" x14ac:dyDescent="0.25">
      <c r="E164" s="11" t="s">
        <v>321</v>
      </c>
    </row>
    <row r="165" spans="5:5" ht="17" x14ac:dyDescent="0.25">
      <c r="E165" s="11" t="s">
        <v>322</v>
      </c>
    </row>
    <row r="166" spans="5:5" ht="17" x14ac:dyDescent="0.25">
      <c r="E166" s="11" t="s">
        <v>323</v>
      </c>
    </row>
    <row r="168" spans="5:5" ht="17" x14ac:dyDescent="0.25">
      <c r="E168" s="11" t="s">
        <v>324</v>
      </c>
    </row>
    <row r="169" spans="5:5" ht="17" x14ac:dyDescent="0.25">
      <c r="E169" s="11" t="s">
        <v>80</v>
      </c>
    </row>
    <row r="170" spans="5:5" ht="17" x14ac:dyDescent="0.25">
      <c r="E170" s="11" t="s">
        <v>325</v>
      </c>
    </row>
    <row r="171" spans="5:5" ht="17" x14ac:dyDescent="0.25">
      <c r="E171" s="11" t="s">
        <v>326</v>
      </c>
    </row>
    <row r="172" spans="5:5" ht="17" x14ac:dyDescent="0.25">
      <c r="E172" s="11" t="s">
        <v>327</v>
      </c>
    </row>
    <row r="174" spans="5:5" ht="17" x14ac:dyDescent="0.25">
      <c r="E174" s="11" t="s">
        <v>328</v>
      </c>
    </row>
    <row r="175" spans="5:5" ht="17" x14ac:dyDescent="0.25">
      <c r="E175" s="11" t="s">
        <v>80</v>
      </c>
    </row>
    <row r="176" spans="5:5" ht="17" x14ac:dyDescent="0.25">
      <c r="E176" s="11" t="s">
        <v>329</v>
      </c>
    </row>
    <row r="177" spans="5:5" ht="17" x14ac:dyDescent="0.25">
      <c r="E177" s="11" t="s">
        <v>330</v>
      </c>
    </row>
    <row r="178" spans="5:5" ht="17" x14ac:dyDescent="0.25">
      <c r="E178" s="11" t="s">
        <v>331</v>
      </c>
    </row>
    <row r="181" spans="5:5" ht="17" x14ac:dyDescent="0.25">
      <c r="E181" s="16" t="s">
        <v>332</v>
      </c>
    </row>
    <row r="182" spans="5:5" ht="17" x14ac:dyDescent="0.25">
      <c r="E182" s="11" t="s">
        <v>333</v>
      </c>
    </row>
    <row r="183" spans="5:5" ht="17" x14ac:dyDescent="0.25">
      <c r="E183" s="11" t="s">
        <v>80</v>
      </c>
    </row>
    <row r="184" spans="5:5" ht="17" x14ac:dyDescent="0.25">
      <c r="E184" s="11" t="s">
        <v>334</v>
      </c>
    </row>
    <row r="185" spans="5:5" ht="17" x14ac:dyDescent="0.25">
      <c r="E185" s="11" t="s">
        <v>335</v>
      </c>
    </row>
    <row r="186" spans="5:5" ht="17" x14ac:dyDescent="0.25">
      <c r="E186" s="11" t="s">
        <v>336</v>
      </c>
    </row>
    <row r="188" spans="5:5" ht="17" x14ac:dyDescent="0.25">
      <c r="E188" s="11" t="s">
        <v>337</v>
      </c>
    </row>
    <row r="189" spans="5:5" ht="17" x14ac:dyDescent="0.25">
      <c r="E189" s="11" t="s">
        <v>104</v>
      </c>
    </row>
    <row r="190" spans="5:5" ht="17" x14ac:dyDescent="0.25">
      <c r="E190" s="11" t="s">
        <v>338</v>
      </c>
    </row>
    <row r="191" spans="5:5" ht="17" x14ac:dyDescent="0.25">
      <c r="E191" s="11" t="s">
        <v>339</v>
      </c>
    </row>
    <row r="192" spans="5:5" ht="17" x14ac:dyDescent="0.25">
      <c r="E192" s="11" t="s">
        <v>340</v>
      </c>
    </row>
    <row r="194" spans="5:5" ht="17" x14ac:dyDescent="0.25">
      <c r="E194" s="11" t="s">
        <v>341</v>
      </c>
    </row>
    <row r="195" spans="5:5" ht="17" x14ac:dyDescent="0.25">
      <c r="E195" s="11" t="s">
        <v>80</v>
      </c>
    </row>
    <row r="196" spans="5:5" ht="17" x14ac:dyDescent="0.25">
      <c r="E196" s="11" t="s">
        <v>342</v>
      </c>
    </row>
    <row r="197" spans="5:5" ht="17" x14ac:dyDescent="0.25">
      <c r="E197" s="11" t="s">
        <v>343</v>
      </c>
    </row>
    <row r="198" spans="5:5" ht="17" x14ac:dyDescent="0.25">
      <c r="E198" s="11" t="s">
        <v>344</v>
      </c>
    </row>
    <row r="201" spans="5:5" ht="17" x14ac:dyDescent="0.25">
      <c r="E201" s="16" t="s">
        <v>345</v>
      </c>
    </row>
    <row r="202" spans="5:5" ht="17" x14ac:dyDescent="0.25">
      <c r="E202" s="11" t="s">
        <v>346</v>
      </c>
    </row>
    <row r="203" spans="5:5" ht="17" x14ac:dyDescent="0.25">
      <c r="E203" s="11" t="s">
        <v>106</v>
      </c>
    </row>
    <row r="204" spans="5:5" ht="17" x14ac:dyDescent="0.25">
      <c r="E204" s="11" t="s">
        <v>347</v>
      </c>
    </row>
    <row r="205" spans="5:5" ht="17" x14ac:dyDescent="0.25">
      <c r="E205" s="11" t="s">
        <v>348</v>
      </c>
    </row>
    <row r="206" spans="5:5" ht="17" x14ac:dyDescent="0.25">
      <c r="E206" s="11" t="s">
        <v>349</v>
      </c>
    </row>
    <row r="208" spans="5:5" ht="17" x14ac:dyDescent="0.25">
      <c r="E208" s="11" t="s">
        <v>350</v>
      </c>
    </row>
    <row r="209" spans="5:5" ht="17" x14ac:dyDescent="0.25">
      <c r="E209" s="11" t="s">
        <v>104</v>
      </c>
    </row>
    <row r="210" spans="5:5" ht="17" x14ac:dyDescent="0.25">
      <c r="E210" s="11" t="s">
        <v>351</v>
      </c>
    </row>
    <row r="211" spans="5:5" ht="17" x14ac:dyDescent="0.25">
      <c r="E211" s="11" t="s">
        <v>352</v>
      </c>
    </row>
    <row r="212" spans="5:5" ht="17" x14ac:dyDescent="0.25">
      <c r="E212" s="11" t="s">
        <v>353</v>
      </c>
    </row>
    <row r="214" spans="5:5" ht="17" x14ac:dyDescent="0.25">
      <c r="E214" s="11" t="s">
        <v>354</v>
      </c>
    </row>
    <row r="215" spans="5:5" ht="17" x14ac:dyDescent="0.25">
      <c r="E215" s="11" t="s">
        <v>122</v>
      </c>
    </row>
    <row r="216" spans="5:5" ht="17" x14ac:dyDescent="0.25">
      <c r="E216" s="11" t="s">
        <v>355</v>
      </c>
    </row>
    <row r="217" spans="5:5" ht="17" x14ac:dyDescent="0.25">
      <c r="E217" s="11" t="s">
        <v>356</v>
      </c>
    </row>
    <row r="218" spans="5:5" ht="17" x14ac:dyDescent="0.25">
      <c r="E218" s="11" t="s">
        <v>357</v>
      </c>
    </row>
    <row r="221" spans="5:5" ht="17" x14ac:dyDescent="0.25">
      <c r="E221" s="16" t="s">
        <v>358</v>
      </c>
    </row>
    <row r="222" spans="5:5" ht="17" x14ac:dyDescent="0.25">
      <c r="E222" s="11" t="s">
        <v>359</v>
      </c>
    </row>
    <row r="223" spans="5:5" ht="17" x14ac:dyDescent="0.25">
      <c r="E223" s="11" t="s">
        <v>106</v>
      </c>
    </row>
    <row r="224" spans="5:5" ht="17" x14ac:dyDescent="0.25">
      <c r="E224" s="11" t="s">
        <v>360</v>
      </c>
    </row>
    <row r="225" spans="5:5" ht="17" x14ac:dyDescent="0.25">
      <c r="E225" s="11" t="s">
        <v>361</v>
      </c>
    </row>
    <row r="226" spans="5:5" ht="17" x14ac:dyDescent="0.25">
      <c r="E226" s="11" t="s">
        <v>362</v>
      </c>
    </row>
    <row r="228" spans="5:5" ht="17" x14ac:dyDescent="0.25">
      <c r="E228" s="11" t="s">
        <v>363</v>
      </c>
    </row>
    <row r="229" spans="5:5" ht="17" x14ac:dyDescent="0.25">
      <c r="E229" s="11" t="s">
        <v>80</v>
      </c>
    </row>
    <row r="230" spans="5:5" ht="17" x14ac:dyDescent="0.25">
      <c r="E230" s="11" t="s">
        <v>364</v>
      </c>
    </row>
    <row r="231" spans="5:5" ht="17" x14ac:dyDescent="0.25">
      <c r="E231" s="11" t="s">
        <v>365</v>
      </c>
    </row>
    <row r="232" spans="5:5" ht="17" x14ac:dyDescent="0.25">
      <c r="E232" s="11" t="s">
        <v>366</v>
      </c>
    </row>
    <row r="234" spans="5:5" ht="17" x14ac:dyDescent="0.25">
      <c r="E234" s="11" t="s">
        <v>367</v>
      </c>
    </row>
    <row r="235" spans="5:5" ht="17" x14ac:dyDescent="0.25">
      <c r="E235" s="11" t="s">
        <v>151</v>
      </c>
    </row>
    <row r="236" spans="5:5" ht="17" x14ac:dyDescent="0.25">
      <c r="E236" s="11" t="s">
        <v>368</v>
      </c>
    </row>
    <row r="237" spans="5:5" ht="17" x14ac:dyDescent="0.25">
      <c r="E237" s="11" t="s">
        <v>369</v>
      </c>
    </row>
    <row r="238" spans="5:5" ht="17" x14ac:dyDescent="0.25">
      <c r="E238" s="11" t="s">
        <v>370</v>
      </c>
    </row>
    <row r="241" spans="5:5" ht="17" x14ac:dyDescent="0.25">
      <c r="E241" s="16" t="s">
        <v>371</v>
      </c>
    </row>
    <row r="242" spans="5:5" ht="17" x14ac:dyDescent="0.25">
      <c r="E242" s="11" t="s">
        <v>372</v>
      </c>
    </row>
    <row r="243" spans="5:5" ht="17" x14ac:dyDescent="0.25">
      <c r="E243" s="11" t="s">
        <v>75</v>
      </c>
    </row>
    <row r="244" spans="5:5" ht="17" x14ac:dyDescent="0.25">
      <c r="E244" s="11" t="s">
        <v>373</v>
      </c>
    </row>
    <row r="245" spans="5:5" ht="17" x14ac:dyDescent="0.25">
      <c r="E245" s="11" t="s">
        <v>374</v>
      </c>
    </row>
    <row r="246" spans="5:5" ht="17" x14ac:dyDescent="0.25">
      <c r="E246" s="11" t="s">
        <v>375</v>
      </c>
    </row>
    <row r="248" spans="5:5" ht="17" x14ac:dyDescent="0.25">
      <c r="E248" s="11" t="s">
        <v>376</v>
      </c>
    </row>
    <row r="249" spans="5:5" ht="17" x14ac:dyDescent="0.25">
      <c r="E249" s="11" t="s">
        <v>80</v>
      </c>
    </row>
    <row r="250" spans="5:5" ht="17" x14ac:dyDescent="0.25">
      <c r="E250" s="11" t="s">
        <v>377</v>
      </c>
    </row>
    <row r="251" spans="5:5" ht="17" x14ac:dyDescent="0.25">
      <c r="E251" s="11" t="s">
        <v>378</v>
      </c>
    </row>
    <row r="252" spans="5:5" ht="17" x14ac:dyDescent="0.25">
      <c r="E252" s="11" t="s">
        <v>379</v>
      </c>
    </row>
    <row r="254" spans="5:5" ht="17" x14ac:dyDescent="0.25">
      <c r="E254" s="11" t="s">
        <v>380</v>
      </c>
    </row>
    <row r="255" spans="5:5" ht="17" x14ac:dyDescent="0.25">
      <c r="E255" s="11" t="s">
        <v>80</v>
      </c>
    </row>
    <row r="256" spans="5:5" ht="17" x14ac:dyDescent="0.25">
      <c r="E256" s="11" t="s">
        <v>381</v>
      </c>
    </row>
    <row r="257" spans="5:5" ht="17" x14ac:dyDescent="0.25">
      <c r="E257" s="11" t="s">
        <v>382</v>
      </c>
    </row>
    <row r="258" spans="5:5" ht="17" x14ac:dyDescent="0.25">
      <c r="E258" s="11" t="s">
        <v>383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FC02-D808-B64B-94EF-585AD912D844}">
  <dimension ref="A1:I139"/>
  <sheetViews>
    <sheetView workbookViewId="0">
      <selection activeCell="C21" sqref="C2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3</v>
      </c>
      <c r="E1" s="13" t="s">
        <v>172</v>
      </c>
      <c r="I1" s="13" t="s">
        <v>173</v>
      </c>
    </row>
    <row r="2" spans="1:9" ht="17" x14ac:dyDescent="0.25">
      <c r="A2" t="s">
        <v>2</v>
      </c>
      <c r="B2">
        <v>33</v>
      </c>
      <c r="C2" s="1" t="s">
        <v>4</v>
      </c>
      <c r="E2" s="16" t="s">
        <v>855</v>
      </c>
      <c r="I2" s="14" t="s">
        <v>922</v>
      </c>
    </row>
    <row r="3" spans="1:9" ht="17" x14ac:dyDescent="0.25">
      <c r="A3" t="s">
        <v>2</v>
      </c>
      <c r="B3">
        <v>34</v>
      </c>
      <c r="C3" s="1" t="s">
        <v>7</v>
      </c>
      <c r="E3" s="11" t="s">
        <v>791</v>
      </c>
      <c r="I3" s="11" t="s">
        <v>923</v>
      </c>
    </row>
    <row r="4" spans="1:9" ht="17" x14ac:dyDescent="0.25">
      <c r="A4" t="s">
        <v>2</v>
      </c>
      <c r="B4">
        <v>68</v>
      </c>
      <c r="C4" s="1" t="s">
        <v>5</v>
      </c>
      <c r="E4" s="11" t="s">
        <v>85</v>
      </c>
      <c r="I4" s="11" t="s">
        <v>104</v>
      </c>
    </row>
    <row r="5" spans="1:9" ht="17" x14ac:dyDescent="0.25">
      <c r="A5" t="s">
        <v>2</v>
      </c>
      <c r="B5">
        <v>69</v>
      </c>
      <c r="C5" s="1" t="s">
        <v>4</v>
      </c>
      <c r="E5" s="11" t="s">
        <v>856</v>
      </c>
      <c r="I5" s="11" t="s">
        <v>924</v>
      </c>
    </row>
    <row r="6" spans="1:9" ht="17" x14ac:dyDescent="0.25">
      <c r="A6" t="s">
        <v>2</v>
      </c>
      <c r="B6">
        <v>70</v>
      </c>
      <c r="C6" s="1" t="s">
        <v>4</v>
      </c>
      <c r="E6" s="11" t="s">
        <v>857</v>
      </c>
      <c r="I6" s="11" t="s">
        <v>925</v>
      </c>
    </row>
    <row r="7" spans="1:9" ht="17" x14ac:dyDescent="0.25">
      <c r="A7" t="s">
        <v>2</v>
      </c>
      <c r="B7">
        <v>75</v>
      </c>
      <c r="C7" s="1" t="s">
        <v>6</v>
      </c>
      <c r="E7" s="11" t="s">
        <v>858</v>
      </c>
      <c r="I7" s="11" t="s">
        <v>926</v>
      </c>
    </row>
    <row r="8" spans="1:9" x14ac:dyDescent="0.2">
      <c r="A8" t="s">
        <v>2</v>
      </c>
      <c r="B8">
        <v>76</v>
      </c>
      <c r="C8" s="1" t="s">
        <v>4</v>
      </c>
    </row>
    <row r="9" spans="1:9" ht="17" x14ac:dyDescent="0.25">
      <c r="A9" t="s">
        <v>2</v>
      </c>
      <c r="B9">
        <v>77</v>
      </c>
      <c r="C9" s="1" t="s">
        <v>5</v>
      </c>
      <c r="E9" s="11" t="s">
        <v>795</v>
      </c>
      <c r="I9" s="11" t="s">
        <v>927</v>
      </c>
    </row>
    <row r="10" spans="1:9" ht="17" x14ac:dyDescent="0.25">
      <c r="A10" t="s">
        <v>2</v>
      </c>
      <c r="B10">
        <v>127</v>
      </c>
      <c r="C10" s="1" t="s">
        <v>5</v>
      </c>
      <c r="E10" s="11" t="s">
        <v>122</v>
      </c>
      <c r="I10" s="11" t="s">
        <v>151</v>
      </c>
    </row>
    <row r="11" spans="1:9" ht="17" x14ac:dyDescent="0.25">
      <c r="A11" t="s">
        <v>2</v>
      </c>
      <c r="B11">
        <v>128</v>
      </c>
      <c r="C11" s="1" t="s">
        <v>5</v>
      </c>
      <c r="E11" s="11" t="s">
        <v>859</v>
      </c>
      <c r="I11" s="11" t="s">
        <v>928</v>
      </c>
    </row>
    <row r="12" spans="1:9" ht="17" x14ac:dyDescent="0.25">
      <c r="A12" t="s">
        <v>2</v>
      </c>
      <c r="B12">
        <v>129</v>
      </c>
      <c r="C12" s="1" t="s">
        <v>5</v>
      </c>
      <c r="E12" s="11" t="s">
        <v>860</v>
      </c>
      <c r="I12" s="11" t="s">
        <v>929</v>
      </c>
    </row>
    <row r="13" spans="1:9" ht="17" x14ac:dyDescent="0.25">
      <c r="A13" t="s">
        <v>2</v>
      </c>
      <c r="B13">
        <v>171</v>
      </c>
      <c r="C13" s="1" t="s">
        <v>7</v>
      </c>
      <c r="E13" s="11" t="s">
        <v>861</v>
      </c>
      <c r="I13" s="11" t="s">
        <v>930</v>
      </c>
    </row>
    <row r="14" spans="1:9" x14ac:dyDescent="0.2">
      <c r="A14" t="s">
        <v>2</v>
      </c>
      <c r="B14">
        <v>173</v>
      </c>
      <c r="C14" s="1" t="s">
        <v>5</v>
      </c>
    </row>
    <row r="15" spans="1:9" ht="17" x14ac:dyDescent="0.25">
      <c r="E15" s="11" t="s">
        <v>799</v>
      </c>
      <c r="I15" s="11" t="s">
        <v>931</v>
      </c>
    </row>
    <row r="16" spans="1:9" ht="17" x14ac:dyDescent="0.25">
      <c r="A16" t="s">
        <v>8</v>
      </c>
      <c r="B16">
        <v>78</v>
      </c>
      <c r="C16" s="1" t="s">
        <v>5</v>
      </c>
      <c r="E16" s="11" t="s">
        <v>105</v>
      </c>
      <c r="I16" s="11" t="s">
        <v>151</v>
      </c>
    </row>
    <row r="17" spans="1:9" ht="17" x14ac:dyDescent="0.25">
      <c r="A17" t="s">
        <v>8</v>
      </c>
      <c r="B17">
        <v>79</v>
      </c>
      <c r="C17" s="1" t="s">
        <v>5</v>
      </c>
      <c r="E17" s="11" t="s">
        <v>862</v>
      </c>
      <c r="I17" s="11" t="s">
        <v>932</v>
      </c>
    </row>
    <row r="18" spans="1:9" ht="17" x14ac:dyDescent="0.25">
      <c r="A18" t="s">
        <v>8</v>
      </c>
      <c r="B18">
        <v>130</v>
      </c>
      <c r="C18" s="1" t="s">
        <v>5</v>
      </c>
      <c r="E18" s="11" t="s">
        <v>863</v>
      </c>
      <c r="I18" s="11" t="s">
        <v>933</v>
      </c>
    </row>
    <row r="19" spans="1:9" ht="17" x14ac:dyDescent="0.25">
      <c r="A19" t="s">
        <v>8</v>
      </c>
      <c r="B19">
        <v>131</v>
      </c>
      <c r="C19" s="1" t="s">
        <v>5</v>
      </c>
      <c r="E19" s="11" t="s">
        <v>864</v>
      </c>
      <c r="I19" s="11" t="s">
        <v>934</v>
      </c>
    </row>
    <row r="20" spans="1:9" x14ac:dyDescent="0.2">
      <c r="A20" t="s">
        <v>8</v>
      </c>
      <c r="B20">
        <v>143</v>
      </c>
      <c r="C20" s="1" t="s">
        <v>5</v>
      </c>
    </row>
    <row r="21" spans="1:9" x14ac:dyDescent="0.2">
      <c r="A21" t="s">
        <v>8</v>
      </c>
      <c r="B21">
        <v>154</v>
      </c>
      <c r="C21" s="1" t="s">
        <v>5</v>
      </c>
    </row>
    <row r="22" spans="1:9" ht="17" x14ac:dyDescent="0.25">
      <c r="A22" t="s">
        <v>8</v>
      </c>
      <c r="B22">
        <v>155</v>
      </c>
      <c r="C22" s="1" t="s">
        <v>5</v>
      </c>
      <c r="E22" s="16" t="s">
        <v>587</v>
      </c>
      <c r="I22" s="14" t="s">
        <v>935</v>
      </c>
    </row>
    <row r="23" spans="1:9" ht="17" x14ac:dyDescent="0.25">
      <c r="E23" s="11" t="s">
        <v>588</v>
      </c>
      <c r="I23" s="11" t="s">
        <v>936</v>
      </c>
    </row>
    <row r="24" spans="1:9" ht="17" x14ac:dyDescent="0.25">
      <c r="E24" s="11" t="s">
        <v>106</v>
      </c>
      <c r="I24" s="11" t="s">
        <v>106</v>
      </c>
    </row>
    <row r="25" spans="1:9" ht="17" x14ac:dyDescent="0.25">
      <c r="E25" s="11" t="s">
        <v>865</v>
      </c>
      <c r="I25" s="11" t="s">
        <v>937</v>
      </c>
    </row>
    <row r="26" spans="1:9" ht="17" x14ac:dyDescent="0.25">
      <c r="E26" s="11" t="s">
        <v>866</v>
      </c>
      <c r="I26" s="11" t="s">
        <v>938</v>
      </c>
    </row>
    <row r="27" spans="1:9" ht="17" x14ac:dyDescent="0.25">
      <c r="E27" s="11" t="s">
        <v>867</v>
      </c>
      <c r="I27" s="11" t="s">
        <v>939</v>
      </c>
    </row>
    <row r="29" spans="1:9" ht="17" x14ac:dyDescent="0.25">
      <c r="E29" s="11" t="s">
        <v>592</v>
      </c>
      <c r="I29" s="11" t="s">
        <v>940</v>
      </c>
    </row>
    <row r="30" spans="1:9" ht="17" x14ac:dyDescent="0.25">
      <c r="E30" s="11" t="s">
        <v>80</v>
      </c>
      <c r="I30" s="11" t="s">
        <v>105</v>
      </c>
    </row>
    <row r="31" spans="1:9" ht="17" x14ac:dyDescent="0.25">
      <c r="E31" s="11" t="s">
        <v>868</v>
      </c>
      <c r="I31" s="11" t="s">
        <v>941</v>
      </c>
    </row>
    <row r="32" spans="1:9" ht="17" x14ac:dyDescent="0.25">
      <c r="E32" s="11" t="s">
        <v>869</v>
      </c>
      <c r="I32" s="11" t="s">
        <v>942</v>
      </c>
    </row>
    <row r="33" spans="5:9" ht="17" x14ac:dyDescent="0.25">
      <c r="E33" s="11" t="s">
        <v>870</v>
      </c>
      <c r="I33" s="11" t="s">
        <v>943</v>
      </c>
    </row>
    <row r="35" spans="5:9" ht="17" x14ac:dyDescent="0.25">
      <c r="E35" s="11" t="s">
        <v>596</v>
      </c>
      <c r="I35" s="11" t="s">
        <v>944</v>
      </c>
    </row>
    <row r="36" spans="5:9" ht="17" x14ac:dyDescent="0.25">
      <c r="E36" s="11" t="s">
        <v>106</v>
      </c>
      <c r="I36" s="11" t="s">
        <v>100</v>
      </c>
    </row>
    <row r="37" spans="5:9" ht="17" x14ac:dyDescent="0.25">
      <c r="E37" s="11" t="s">
        <v>871</v>
      </c>
      <c r="I37" s="11" t="s">
        <v>945</v>
      </c>
    </row>
    <row r="38" spans="5:9" ht="17" x14ac:dyDescent="0.25">
      <c r="E38" s="11" t="s">
        <v>872</v>
      </c>
      <c r="I38" s="11" t="s">
        <v>946</v>
      </c>
    </row>
    <row r="39" spans="5:9" ht="17" x14ac:dyDescent="0.25">
      <c r="E39" s="11" t="s">
        <v>873</v>
      </c>
      <c r="I39" s="11" t="s">
        <v>947</v>
      </c>
    </row>
    <row r="42" spans="5:9" ht="17" x14ac:dyDescent="0.25">
      <c r="E42" s="14" t="s">
        <v>699</v>
      </c>
      <c r="I42" s="16" t="s">
        <v>948</v>
      </c>
    </row>
    <row r="43" spans="5:9" ht="17" x14ac:dyDescent="0.25">
      <c r="E43" s="11" t="s">
        <v>700</v>
      </c>
      <c r="I43" s="11" t="s">
        <v>949</v>
      </c>
    </row>
    <row r="44" spans="5:9" ht="17" x14ac:dyDescent="0.25">
      <c r="E44" s="11" t="s">
        <v>106</v>
      </c>
      <c r="I44" s="11" t="s">
        <v>127</v>
      </c>
    </row>
    <row r="45" spans="5:9" ht="17" x14ac:dyDescent="0.25">
      <c r="E45" s="11" t="s">
        <v>874</v>
      </c>
      <c r="I45" s="11" t="s">
        <v>950</v>
      </c>
    </row>
    <row r="46" spans="5:9" ht="17" x14ac:dyDescent="0.25">
      <c r="E46" s="11" t="s">
        <v>875</v>
      </c>
      <c r="I46" s="11" t="s">
        <v>951</v>
      </c>
    </row>
    <row r="47" spans="5:9" ht="17" x14ac:dyDescent="0.25">
      <c r="E47" s="11" t="s">
        <v>876</v>
      </c>
      <c r="I47" s="11" t="s">
        <v>952</v>
      </c>
    </row>
    <row r="49" spans="5:9" ht="17" x14ac:dyDescent="0.25">
      <c r="E49" s="11" t="s">
        <v>704</v>
      </c>
      <c r="I49" s="11" t="s">
        <v>953</v>
      </c>
    </row>
    <row r="50" spans="5:9" ht="17" x14ac:dyDescent="0.25">
      <c r="E50" s="11" t="s">
        <v>106</v>
      </c>
      <c r="I50" s="11" t="s">
        <v>80</v>
      </c>
    </row>
    <row r="51" spans="5:9" ht="17" x14ac:dyDescent="0.25">
      <c r="E51" s="11" t="s">
        <v>877</v>
      </c>
      <c r="I51" s="11" t="s">
        <v>954</v>
      </c>
    </row>
    <row r="52" spans="5:9" ht="17" x14ac:dyDescent="0.25">
      <c r="E52" s="11" t="s">
        <v>878</v>
      </c>
      <c r="I52" s="11" t="s">
        <v>955</v>
      </c>
    </row>
    <row r="53" spans="5:9" ht="17" x14ac:dyDescent="0.25">
      <c r="E53" s="11" t="s">
        <v>879</v>
      </c>
      <c r="I53" s="11" t="s">
        <v>956</v>
      </c>
    </row>
    <row r="55" spans="5:9" ht="17" x14ac:dyDescent="0.25">
      <c r="E55" s="11" t="s">
        <v>708</v>
      </c>
      <c r="I55" s="11" t="s">
        <v>957</v>
      </c>
    </row>
    <row r="56" spans="5:9" ht="17" x14ac:dyDescent="0.25">
      <c r="E56" s="11" t="s">
        <v>151</v>
      </c>
      <c r="I56" s="11" t="s">
        <v>80</v>
      </c>
    </row>
    <row r="57" spans="5:9" ht="17" x14ac:dyDescent="0.25">
      <c r="E57" s="11" t="s">
        <v>880</v>
      </c>
      <c r="I57" s="11" t="s">
        <v>958</v>
      </c>
    </row>
    <row r="58" spans="5:9" ht="17" x14ac:dyDescent="0.25">
      <c r="E58" s="11" t="s">
        <v>881</v>
      </c>
      <c r="I58" s="11" t="s">
        <v>959</v>
      </c>
    </row>
    <row r="59" spans="5:9" ht="17" x14ac:dyDescent="0.25">
      <c r="E59" s="11" t="s">
        <v>882</v>
      </c>
      <c r="I59" s="11" t="s">
        <v>960</v>
      </c>
    </row>
    <row r="62" spans="5:9" ht="17" x14ac:dyDescent="0.25">
      <c r="E62" s="16" t="s">
        <v>883</v>
      </c>
      <c r="I62" s="16" t="s">
        <v>961</v>
      </c>
    </row>
    <row r="63" spans="5:9" ht="17" x14ac:dyDescent="0.25">
      <c r="E63" s="11" t="s">
        <v>884</v>
      </c>
      <c r="I63" s="11" t="s">
        <v>962</v>
      </c>
    </row>
    <row r="64" spans="5:9" ht="17" x14ac:dyDescent="0.25">
      <c r="E64" s="11" t="s">
        <v>477</v>
      </c>
      <c r="I64" s="11" t="s">
        <v>127</v>
      </c>
    </row>
    <row r="65" spans="5:9" ht="17" x14ac:dyDescent="0.25">
      <c r="E65" s="11" t="s">
        <v>885</v>
      </c>
      <c r="I65" s="11" t="s">
        <v>963</v>
      </c>
    </row>
    <row r="66" spans="5:9" ht="17" x14ac:dyDescent="0.25">
      <c r="E66" s="11" t="s">
        <v>886</v>
      </c>
      <c r="I66" s="11" t="s">
        <v>964</v>
      </c>
    </row>
    <row r="67" spans="5:9" ht="17" x14ac:dyDescent="0.25">
      <c r="E67" s="11" t="s">
        <v>887</v>
      </c>
      <c r="I67" s="11" t="s">
        <v>965</v>
      </c>
    </row>
    <row r="69" spans="5:9" ht="17" x14ac:dyDescent="0.25">
      <c r="E69" s="11" t="s">
        <v>888</v>
      </c>
      <c r="I69" s="11" t="s">
        <v>966</v>
      </c>
    </row>
    <row r="70" spans="5:9" ht="17" x14ac:dyDescent="0.25">
      <c r="E70" s="11" t="s">
        <v>80</v>
      </c>
      <c r="I70" s="11" t="s">
        <v>80</v>
      </c>
    </row>
    <row r="71" spans="5:9" ht="17" x14ac:dyDescent="0.25">
      <c r="E71" s="11" t="s">
        <v>889</v>
      </c>
      <c r="I71" s="11" t="s">
        <v>967</v>
      </c>
    </row>
    <row r="72" spans="5:9" ht="17" x14ac:dyDescent="0.25">
      <c r="E72" s="11" t="s">
        <v>890</v>
      </c>
      <c r="I72" s="11" t="s">
        <v>968</v>
      </c>
    </row>
    <row r="73" spans="5:9" ht="17" x14ac:dyDescent="0.25">
      <c r="E73" s="11" t="s">
        <v>891</v>
      </c>
      <c r="I73" s="11" t="s">
        <v>969</v>
      </c>
    </row>
    <row r="75" spans="5:9" ht="17" x14ac:dyDescent="0.25">
      <c r="E75" s="11" t="s">
        <v>892</v>
      </c>
      <c r="I75" s="11" t="s">
        <v>970</v>
      </c>
    </row>
    <row r="76" spans="5:9" ht="17" x14ac:dyDescent="0.25">
      <c r="E76" s="11" t="s">
        <v>80</v>
      </c>
      <c r="I76" s="11" t="s">
        <v>80</v>
      </c>
    </row>
    <row r="77" spans="5:9" ht="17" x14ac:dyDescent="0.25">
      <c r="E77" s="11" t="s">
        <v>893</v>
      </c>
      <c r="I77" s="11" t="s">
        <v>971</v>
      </c>
    </row>
    <row r="78" spans="5:9" ht="17" x14ac:dyDescent="0.25">
      <c r="E78" s="11" t="s">
        <v>894</v>
      </c>
      <c r="I78" s="11" t="s">
        <v>972</v>
      </c>
    </row>
    <row r="79" spans="5:9" ht="17" x14ac:dyDescent="0.25">
      <c r="E79" s="11" t="s">
        <v>895</v>
      </c>
      <c r="I79" s="11" t="s">
        <v>973</v>
      </c>
    </row>
    <row r="82" spans="5:9" ht="17" x14ac:dyDescent="0.25">
      <c r="E82" s="16" t="s">
        <v>896</v>
      </c>
      <c r="I82" s="16" t="s">
        <v>112</v>
      </c>
    </row>
    <row r="83" spans="5:9" ht="17" x14ac:dyDescent="0.25">
      <c r="E83" s="11" t="s">
        <v>897</v>
      </c>
      <c r="I83" s="11" t="s">
        <v>113</v>
      </c>
    </row>
    <row r="84" spans="5:9" ht="17" x14ac:dyDescent="0.25">
      <c r="E84" s="11" t="s">
        <v>75</v>
      </c>
      <c r="I84" s="11" t="s">
        <v>127</v>
      </c>
    </row>
    <row r="85" spans="5:9" ht="17" x14ac:dyDescent="0.25">
      <c r="E85" s="11" t="s">
        <v>898</v>
      </c>
      <c r="I85" s="11" t="s">
        <v>974</v>
      </c>
    </row>
    <row r="86" spans="5:9" ht="17" x14ac:dyDescent="0.25">
      <c r="E86" s="11" t="s">
        <v>899</v>
      </c>
      <c r="I86" s="11" t="s">
        <v>975</v>
      </c>
    </row>
    <row r="87" spans="5:9" ht="17" x14ac:dyDescent="0.25">
      <c r="E87" s="11" t="s">
        <v>900</v>
      </c>
      <c r="I87" s="11" t="s">
        <v>976</v>
      </c>
    </row>
    <row r="89" spans="5:9" ht="17" x14ac:dyDescent="0.25">
      <c r="E89" s="11" t="s">
        <v>901</v>
      </c>
      <c r="I89" s="11" t="s">
        <v>117</v>
      </c>
    </row>
    <row r="90" spans="5:9" ht="17" x14ac:dyDescent="0.25">
      <c r="E90" s="11" t="s">
        <v>80</v>
      </c>
      <c r="I90" s="11" t="s">
        <v>80</v>
      </c>
    </row>
    <row r="91" spans="5:9" ht="17" x14ac:dyDescent="0.25">
      <c r="E91" s="11" t="s">
        <v>902</v>
      </c>
      <c r="I91" s="11" t="s">
        <v>977</v>
      </c>
    </row>
    <row r="92" spans="5:9" ht="17" x14ac:dyDescent="0.25">
      <c r="E92" s="11" t="s">
        <v>903</v>
      </c>
      <c r="I92" s="11" t="s">
        <v>978</v>
      </c>
    </row>
    <row r="93" spans="5:9" ht="17" x14ac:dyDescent="0.25">
      <c r="E93" s="11" t="s">
        <v>904</v>
      </c>
      <c r="I93" s="11" t="s">
        <v>979</v>
      </c>
    </row>
    <row r="95" spans="5:9" ht="17" x14ac:dyDescent="0.25">
      <c r="E95" s="11" t="s">
        <v>905</v>
      </c>
      <c r="I95" s="11" t="s">
        <v>121</v>
      </c>
    </row>
    <row r="96" spans="5:9" ht="17" x14ac:dyDescent="0.25">
      <c r="E96" s="11" t="s">
        <v>80</v>
      </c>
      <c r="I96" s="11" t="s">
        <v>80</v>
      </c>
    </row>
    <row r="97" spans="5:9" ht="17" x14ac:dyDescent="0.25">
      <c r="E97" s="11" t="s">
        <v>906</v>
      </c>
      <c r="I97" s="11" t="s">
        <v>980</v>
      </c>
    </row>
    <row r="98" spans="5:9" ht="17" x14ac:dyDescent="0.25">
      <c r="E98" s="11" t="s">
        <v>907</v>
      </c>
      <c r="I98" s="11" t="s">
        <v>981</v>
      </c>
    </row>
    <row r="99" spans="5:9" ht="17" x14ac:dyDescent="0.25">
      <c r="E99" s="11" t="s">
        <v>908</v>
      </c>
      <c r="I99" s="11" t="s">
        <v>982</v>
      </c>
    </row>
    <row r="102" spans="5:9" ht="17" x14ac:dyDescent="0.25">
      <c r="E102" s="16" t="s">
        <v>909</v>
      </c>
      <c r="I102" s="14" t="s">
        <v>983</v>
      </c>
    </row>
    <row r="103" spans="5:9" ht="17" x14ac:dyDescent="0.25">
      <c r="E103" s="11" t="s">
        <v>910</v>
      </c>
      <c r="I103" s="11" t="s">
        <v>984</v>
      </c>
    </row>
    <row r="104" spans="5:9" ht="17" x14ac:dyDescent="0.25">
      <c r="E104" s="11" t="s">
        <v>106</v>
      </c>
      <c r="I104" s="11" t="s">
        <v>106</v>
      </c>
    </row>
    <row r="105" spans="5:9" ht="17" x14ac:dyDescent="0.25">
      <c r="E105" s="11" t="s">
        <v>911</v>
      </c>
      <c r="I105" s="11" t="s">
        <v>985</v>
      </c>
    </row>
    <row r="106" spans="5:9" ht="17" x14ac:dyDescent="0.25">
      <c r="E106" s="11" t="s">
        <v>912</v>
      </c>
      <c r="I106" s="11" t="s">
        <v>986</v>
      </c>
    </row>
    <row r="107" spans="5:9" ht="17" x14ac:dyDescent="0.25">
      <c r="E107" s="11" t="s">
        <v>913</v>
      </c>
      <c r="I107" s="11" t="s">
        <v>987</v>
      </c>
    </row>
    <row r="109" spans="5:9" ht="17" x14ac:dyDescent="0.25">
      <c r="E109" s="11" t="s">
        <v>914</v>
      </c>
      <c r="I109" s="11" t="s">
        <v>988</v>
      </c>
    </row>
    <row r="110" spans="5:9" ht="17" x14ac:dyDescent="0.25">
      <c r="E110" s="11" t="s">
        <v>105</v>
      </c>
      <c r="I110" s="11" t="s">
        <v>100</v>
      </c>
    </row>
    <row r="111" spans="5:9" ht="17" x14ac:dyDescent="0.25">
      <c r="E111" s="11" t="s">
        <v>915</v>
      </c>
      <c r="I111" s="11" t="s">
        <v>989</v>
      </c>
    </row>
    <row r="112" spans="5:9" ht="17" x14ac:dyDescent="0.25">
      <c r="E112" s="11" t="s">
        <v>916</v>
      </c>
      <c r="I112" s="11" t="s">
        <v>990</v>
      </c>
    </row>
    <row r="113" spans="5:9" ht="17" x14ac:dyDescent="0.25">
      <c r="E113" s="11" t="s">
        <v>917</v>
      </c>
      <c r="I113" s="11" t="s">
        <v>991</v>
      </c>
    </row>
    <row r="115" spans="5:9" ht="17" x14ac:dyDescent="0.25">
      <c r="E115" s="11" t="s">
        <v>918</v>
      </c>
      <c r="I115" s="11" t="s">
        <v>992</v>
      </c>
    </row>
    <row r="116" spans="5:9" ht="17" x14ac:dyDescent="0.25">
      <c r="E116" s="11" t="s">
        <v>100</v>
      </c>
      <c r="I116" s="11" t="s">
        <v>107</v>
      </c>
    </row>
    <row r="117" spans="5:9" ht="17" x14ac:dyDescent="0.25">
      <c r="E117" s="11" t="s">
        <v>919</v>
      </c>
      <c r="I117" s="11" t="s">
        <v>993</v>
      </c>
    </row>
    <row r="118" spans="5:9" ht="17" x14ac:dyDescent="0.25">
      <c r="E118" s="11" t="s">
        <v>920</v>
      </c>
      <c r="I118" s="11" t="s">
        <v>994</v>
      </c>
    </row>
    <row r="119" spans="5:9" ht="17" x14ac:dyDescent="0.25">
      <c r="E119" s="11" t="s">
        <v>921</v>
      </c>
      <c r="I119" s="11" t="s">
        <v>995</v>
      </c>
    </row>
    <row r="122" spans="5:9" ht="17" x14ac:dyDescent="0.25">
      <c r="I122" s="16" t="s">
        <v>996</v>
      </c>
    </row>
    <row r="123" spans="5:9" ht="17" x14ac:dyDescent="0.25">
      <c r="I123" s="11" t="s">
        <v>997</v>
      </c>
    </row>
    <row r="124" spans="5:9" ht="17" x14ac:dyDescent="0.25">
      <c r="I124" s="11" t="s">
        <v>104</v>
      </c>
    </row>
    <row r="125" spans="5:9" ht="17" x14ac:dyDescent="0.25">
      <c r="I125" s="11" t="s">
        <v>998</v>
      </c>
    </row>
    <row r="126" spans="5:9" ht="17" x14ac:dyDescent="0.25">
      <c r="I126" s="11" t="s">
        <v>999</v>
      </c>
    </row>
    <row r="127" spans="5:9" ht="17" x14ac:dyDescent="0.25">
      <c r="I127" s="11" t="s">
        <v>1000</v>
      </c>
    </row>
    <row r="129" spans="9:9" ht="17" x14ac:dyDescent="0.25">
      <c r="I129" s="11" t="s">
        <v>1001</v>
      </c>
    </row>
    <row r="130" spans="9:9" ht="17" x14ac:dyDescent="0.25">
      <c r="I130" s="11" t="s">
        <v>100</v>
      </c>
    </row>
    <row r="131" spans="9:9" ht="17" x14ac:dyDescent="0.25">
      <c r="I131" s="11" t="s">
        <v>1002</v>
      </c>
    </row>
    <row r="132" spans="9:9" ht="17" x14ac:dyDescent="0.25">
      <c r="I132" s="11" t="s">
        <v>1003</v>
      </c>
    </row>
    <row r="133" spans="9:9" ht="17" x14ac:dyDescent="0.25">
      <c r="I133" s="11" t="s">
        <v>1004</v>
      </c>
    </row>
    <row r="135" spans="9:9" ht="17" x14ac:dyDescent="0.25">
      <c r="I135" s="11" t="s">
        <v>1005</v>
      </c>
    </row>
    <row r="136" spans="9:9" ht="17" x14ac:dyDescent="0.25">
      <c r="I136" s="11" t="s">
        <v>151</v>
      </c>
    </row>
    <row r="137" spans="9:9" ht="17" x14ac:dyDescent="0.25">
      <c r="I137" s="11" t="s">
        <v>1006</v>
      </c>
    </row>
    <row r="138" spans="9:9" ht="17" x14ac:dyDescent="0.25">
      <c r="I138" s="11" t="s">
        <v>1007</v>
      </c>
    </row>
    <row r="139" spans="9:9" ht="17" x14ac:dyDescent="0.25">
      <c r="I139" s="11" t="s">
        <v>1008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B13D-B7DD-432C-A2DD-A6E18FF53016}">
  <dimension ref="A1:J39"/>
  <sheetViews>
    <sheetView topLeftCell="A5" workbookViewId="0">
      <selection activeCell="C35" sqref="C35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3</v>
      </c>
      <c r="E1" s="13" t="s">
        <v>172</v>
      </c>
      <c r="J1" s="13" t="s">
        <v>173</v>
      </c>
    </row>
    <row r="2" spans="1:10" ht="17" x14ac:dyDescent="0.25">
      <c r="A2" t="s">
        <v>2</v>
      </c>
      <c r="B2">
        <v>7</v>
      </c>
      <c r="C2" s="1" t="s">
        <v>6</v>
      </c>
      <c r="E2" s="16" t="s">
        <v>384</v>
      </c>
      <c r="J2" s="16" t="s">
        <v>725</v>
      </c>
    </row>
    <row r="3" spans="1:10" ht="17" x14ac:dyDescent="0.25">
      <c r="A3" t="s">
        <v>2</v>
      </c>
      <c r="B3">
        <v>8</v>
      </c>
      <c r="C3" s="1" t="s">
        <v>6</v>
      </c>
      <c r="E3" s="11" t="s">
        <v>385</v>
      </c>
      <c r="J3" s="11" t="s">
        <v>726</v>
      </c>
    </row>
    <row r="4" spans="1:10" ht="17" x14ac:dyDescent="0.25">
      <c r="A4" t="s">
        <v>2</v>
      </c>
      <c r="B4">
        <v>17</v>
      </c>
      <c r="C4" s="1" t="s">
        <v>6</v>
      </c>
      <c r="E4" s="11" t="s">
        <v>104</v>
      </c>
      <c r="J4" s="11" t="s">
        <v>127</v>
      </c>
    </row>
    <row r="5" spans="1:10" ht="17" x14ac:dyDescent="0.25">
      <c r="A5" t="s">
        <v>2</v>
      </c>
      <c r="B5">
        <v>18</v>
      </c>
      <c r="C5" s="1" t="s">
        <v>7</v>
      </c>
      <c r="E5" s="11" t="s">
        <v>386</v>
      </c>
      <c r="J5" s="11" t="s">
        <v>727</v>
      </c>
    </row>
    <row r="6" spans="1:10" ht="17" x14ac:dyDescent="0.25">
      <c r="A6" t="s">
        <v>2</v>
      </c>
      <c r="B6">
        <v>19</v>
      </c>
      <c r="C6" s="1" t="s">
        <v>6</v>
      </c>
      <c r="E6" s="11" t="s">
        <v>387</v>
      </c>
      <c r="J6" s="11" t="s">
        <v>728</v>
      </c>
    </row>
    <row r="7" spans="1:10" ht="17" x14ac:dyDescent="0.25">
      <c r="A7" t="s">
        <v>2</v>
      </c>
      <c r="B7">
        <v>25</v>
      </c>
      <c r="C7" s="1" t="s">
        <v>6</v>
      </c>
      <c r="E7" s="11" t="s">
        <v>388</v>
      </c>
      <c r="J7" s="11" t="s">
        <v>729</v>
      </c>
    </row>
    <row r="8" spans="1:10" x14ac:dyDescent="0.2">
      <c r="A8" t="s">
        <v>2</v>
      </c>
      <c r="B8">
        <v>26</v>
      </c>
      <c r="C8" s="1" t="s">
        <v>6</v>
      </c>
    </row>
    <row r="9" spans="1:10" ht="17" x14ac:dyDescent="0.25">
      <c r="A9" t="s">
        <v>2</v>
      </c>
      <c r="B9">
        <v>27</v>
      </c>
      <c r="C9" s="1" t="s">
        <v>6</v>
      </c>
      <c r="E9" s="11" t="s">
        <v>389</v>
      </c>
      <c r="J9" s="11" t="s">
        <v>730</v>
      </c>
    </row>
    <row r="10" spans="1:10" ht="17" x14ac:dyDescent="0.25">
      <c r="A10" t="s">
        <v>2</v>
      </c>
      <c r="B10">
        <v>36</v>
      </c>
      <c r="C10" s="1" t="s">
        <v>7</v>
      </c>
      <c r="E10" s="11" t="s">
        <v>100</v>
      </c>
      <c r="J10" s="11" t="s">
        <v>80</v>
      </c>
    </row>
    <row r="11" spans="1:10" ht="17" x14ac:dyDescent="0.25">
      <c r="A11" t="s">
        <v>2</v>
      </c>
      <c r="B11">
        <v>37</v>
      </c>
      <c r="C11" s="1" t="s">
        <v>7</v>
      </c>
      <c r="E11" s="11" t="s">
        <v>390</v>
      </c>
      <c r="J11" s="11" t="s">
        <v>731</v>
      </c>
    </row>
    <row r="12" spans="1:10" ht="17" x14ac:dyDescent="0.25">
      <c r="A12" t="s">
        <v>2</v>
      </c>
      <c r="B12">
        <v>38</v>
      </c>
      <c r="C12" s="1" t="s">
        <v>5</v>
      </c>
      <c r="E12" s="11" t="s">
        <v>391</v>
      </c>
      <c r="J12" s="11" t="s">
        <v>732</v>
      </c>
    </row>
    <row r="13" spans="1:10" ht="17" x14ac:dyDescent="0.25">
      <c r="A13" t="s">
        <v>2</v>
      </c>
      <c r="B13">
        <v>49</v>
      </c>
      <c r="C13" s="1" t="s">
        <v>6</v>
      </c>
      <c r="E13" s="11" t="s">
        <v>392</v>
      </c>
      <c r="J13" s="11" t="s">
        <v>733</v>
      </c>
    </row>
    <row r="14" spans="1:10" x14ac:dyDescent="0.2">
      <c r="A14" t="s">
        <v>2</v>
      </c>
      <c r="B14">
        <v>105</v>
      </c>
      <c r="C14" s="1" t="s">
        <v>6</v>
      </c>
    </row>
    <row r="15" spans="1:10" ht="17" x14ac:dyDescent="0.25">
      <c r="A15" t="s">
        <v>2</v>
      </c>
      <c r="B15">
        <v>106</v>
      </c>
      <c r="C15" s="1" t="s">
        <v>5</v>
      </c>
      <c r="E15" s="11" t="s">
        <v>393</v>
      </c>
      <c r="J15" s="11" t="s">
        <v>734</v>
      </c>
    </row>
    <row r="16" spans="1:10" ht="17" x14ac:dyDescent="0.25">
      <c r="A16" t="s">
        <v>2</v>
      </c>
      <c r="B16">
        <v>107</v>
      </c>
      <c r="C16" s="1" t="s">
        <v>4</v>
      </c>
      <c r="E16" s="11" t="s">
        <v>80</v>
      </c>
      <c r="J16" s="11" t="s">
        <v>80</v>
      </c>
    </row>
    <row r="17" spans="1:10" ht="17" x14ac:dyDescent="0.25">
      <c r="A17" t="s">
        <v>2</v>
      </c>
      <c r="B17">
        <v>117</v>
      </c>
      <c r="C17" s="1" t="s">
        <v>6</v>
      </c>
      <c r="E17" s="11" t="s">
        <v>394</v>
      </c>
      <c r="J17" s="11" t="s">
        <v>735</v>
      </c>
    </row>
    <row r="18" spans="1:10" ht="17" x14ac:dyDescent="0.25">
      <c r="A18" t="s">
        <v>2</v>
      </c>
      <c r="B18">
        <v>118</v>
      </c>
      <c r="C18" s="1" t="s">
        <v>7</v>
      </c>
      <c r="E18" s="11" t="s">
        <v>395</v>
      </c>
      <c r="J18" s="11" t="s">
        <v>736</v>
      </c>
    </row>
    <row r="19" spans="1:10" ht="17" x14ac:dyDescent="0.25">
      <c r="A19" t="s">
        <v>2</v>
      </c>
      <c r="B19">
        <v>119</v>
      </c>
      <c r="C19" s="1" t="s">
        <v>7</v>
      </c>
      <c r="E19" s="11" t="s">
        <v>396</v>
      </c>
      <c r="J19" s="11" t="s">
        <v>737</v>
      </c>
    </row>
    <row r="20" spans="1:10" x14ac:dyDescent="0.2">
      <c r="C20" s="1"/>
    </row>
    <row r="21" spans="1:10" x14ac:dyDescent="0.2">
      <c r="A21" t="s">
        <v>8</v>
      </c>
      <c r="B21">
        <v>28</v>
      </c>
      <c r="C21" s="1" t="s">
        <v>4</v>
      </c>
    </row>
    <row r="22" spans="1:10" ht="17" x14ac:dyDescent="0.25">
      <c r="A22" t="s">
        <v>8</v>
      </c>
      <c r="B22">
        <v>29</v>
      </c>
      <c r="C22" s="1" t="s">
        <v>6</v>
      </c>
      <c r="E22" s="16" t="s">
        <v>397</v>
      </c>
      <c r="J22" s="14" t="s">
        <v>738</v>
      </c>
    </row>
    <row r="23" spans="1:10" ht="17" x14ac:dyDescent="0.25">
      <c r="A23" t="s">
        <v>8</v>
      </c>
      <c r="B23">
        <v>30</v>
      </c>
      <c r="C23" s="1" t="s">
        <v>6</v>
      </c>
      <c r="E23" s="11" t="s">
        <v>398</v>
      </c>
      <c r="J23" s="11" t="s">
        <v>739</v>
      </c>
    </row>
    <row r="24" spans="1:10" ht="17" x14ac:dyDescent="0.25">
      <c r="A24" t="s">
        <v>8</v>
      </c>
      <c r="B24">
        <v>59</v>
      </c>
      <c r="C24" s="1" t="s">
        <v>6</v>
      </c>
      <c r="E24" s="11" t="s">
        <v>85</v>
      </c>
      <c r="J24" s="11" t="s">
        <v>91</v>
      </c>
    </row>
    <row r="25" spans="1:10" ht="17" x14ac:dyDescent="0.25">
      <c r="A25" t="s">
        <v>8</v>
      </c>
      <c r="B25">
        <v>60</v>
      </c>
      <c r="C25" s="1" t="s">
        <v>6</v>
      </c>
      <c r="E25" s="11" t="s">
        <v>399</v>
      </c>
      <c r="J25" s="11" t="s">
        <v>740</v>
      </c>
    </row>
    <row r="26" spans="1:10" ht="17" x14ac:dyDescent="0.25">
      <c r="A26" t="s">
        <v>8</v>
      </c>
      <c r="B26">
        <v>61</v>
      </c>
      <c r="C26" s="1" t="s">
        <v>6</v>
      </c>
      <c r="E26" s="11" t="s">
        <v>400</v>
      </c>
      <c r="J26" s="11" t="s">
        <v>741</v>
      </c>
    </row>
    <row r="27" spans="1:10" ht="17" x14ac:dyDescent="0.25">
      <c r="A27" t="s">
        <v>8</v>
      </c>
      <c r="B27">
        <v>108</v>
      </c>
      <c r="C27" s="1" t="s">
        <v>4</v>
      </c>
      <c r="E27" s="11" t="s">
        <v>401</v>
      </c>
      <c r="J27" s="11" t="s">
        <v>742</v>
      </c>
    </row>
    <row r="28" spans="1:10" x14ac:dyDescent="0.2">
      <c r="A28" t="s">
        <v>8</v>
      </c>
      <c r="B28">
        <v>109</v>
      </c>
      <c r="C28" s="1" t="s">
        <v>7</v>
      </c>
    </row>
    <row r="29" spans="1:10" ht="17" x14ac:dyDescent="0.25">
      <c r="A29" t="s">
        <v>8</v>
      </c>
      <c r="B29">
        <v>110</v>
      </c>
      <c r="C29" s="1" t="s">
        <v>6</v>
      </c>
      <c r="E29" s="11" t="s">
        <v>402</v>
      </c>
      <c r="J29" s="11" t="s">
        <v>743</v>
      </c>
    </row>
    <row r="30" spans="1:10" ht="17" x14ac:dyDescent="0.25">
      <c r="A30" t="s">
        <v>8</v>
      </c>
      <c r="B30">
        <v>120</v>
      </c>
      <c r="C30" s="1" t="s">
        <v>5</v>
      </c>
      <c r="E30" s="11" t="s">
        <v>100</v>
      </c>
      <c r="J30" s="11" t="s">
        <v>80</v>
      </c>
    </row>
    <row r="31" spans="1:10" ht="17" x14ac:dyDescent="0.25">
      <c r="A31" t="s">
        <v>8</v>
      </c>
      <c r="B31">
        <v>121</v>
      </c>
      <c r="C31" s="1" t="s">
        <v>5</v>
      </c>
      <c r="E31" s="11" t="s">
        <v>403</v>
      </c>
      <c r="J31" s="11" t="s">
        <v>744</v>
      </c>
    </row>
    <row r="32" spans="1:10" ht="17" x14ac:dyDescent="0.25">
      <c r="A32" t="s">
        <v>8</v>
      </c>
      <c r="B32">
        <v>122</v>
      </c>
      <c r="C32" s="1" t="s">
        <v>6</v>
      </c>
      <c r="E32" s="11" t="s">
        <v>404</v>
      </c>
      <c r="J32" s="11" t="s">
        <v>745</v>
      </c>
    </row>
    <row r="33" spans="1:10" ht="17" x14ac:dyDescent="0.25">
      <c r="A33" t="s">
        <v>8</v>
      </c>
      <c r="B33">
        <v>167</v>
      </c>
      <c r="C33" s="1" t="s">
        <v>7</v>
      </c>
      <c r="E33" s="11" t="s">
        <v>405</v>
      </c>
      <c r="J33" s="11" t="s">
        <v>746</v>
      </c>
    </row>
    <row r="34" spans="1:10" x14ac:dyDescent="0.2">
      <c r="A34" t="s">
        <v>8</v>
      </c>
      <c r="B34">
        <v>168</v>
      </c>
      <c r="C34" s="1" t="s">
        <v>6</v>
      </c>
    </row>
    <row r="35" spans="1:10" ht="17" x14ac:dyDescent="0.25">
      <c r="A35" t="s">
        <v>8</v>
      </c>
      <c r="B35">
        <v>169</v>
      </c>
      <c r="C35" s="1" t="s">
        <v>7</v>
      </c>
      <c r="E35" s="11" t="s">
        <v>406</v>
      </c>
      <c r="J35" s="11" t="s">
        <v>747</v>
      </c>
    </row>
    <row r="36" spans="1:10" ht="17" x14ac:dyDescent="0.25">
      <c r="E36" s="11" t="s">
        <v>122</v>
      </c>
      <c r="J36" s="11" t="s">
        <v>151</v>
      </c>
    </row>
    <row r="37" spans="1:10" ht="17" x14ac:dyDescent="0.25">
      <c r="E37" s="11" t="s">
        <v>407</v>
      </c>
      <c r="J37" s="11" t="s">
        <v>748</v>
      </c>
    </row>
    <row r="38" spans="1:10" ht="17" x14ac:dyDescent="0.25">
      <c r="E38" s="11" t="s">
        <v>408</v>
      </c>
      <c r="J38" s="11" t="s">
        <v>749</v>
      </c>
    </row>
    <row r="39" spans="1:10" ht="17" x14ac:dyDescent="0.25">
      <c r="E39" s="11" t="s">
        <v>409</v>
      </c>
      <c r="J39" s="11" t="s">
        <v>750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E83F-ADEC-4A9C-8B45-7369863B95BB}">
  <dimension ref="A1:J39"/>
  <sheetViews>
    <sheetView workbookViewId="0">
      <selection activeCell="C32" sqref="C32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3</v>
      </c>
      <c r="E1" s="13" t="s">
        <v>172</v>
      </c>
      <c r="J1" s="13" t="s">
        <v>173</v>
      </c>
    </row>
    <row r="2" spans="1:10" ht="17" x14ac:dyDescent="0.25">
      <c r="A2" t="s">
        <v>2</v>
      </c>
      <c r="B2">
        <v>20</v>
      </c>
      <c r="C2" s="10" t="s">
        <v>6</v>
      </c>
      <c r="E2" s="16" t="s">
        <v>410</v>
      </c>
      <c r="J2" s="16" t="s">
        <v>751</v>
      </c>
    </row>
    <row r="3" spans="1:10" ht="17" x14ac:dyDescent="0.25">
      <c r="A3" t="s">
        <v>2</v>
      </c>
      <c r="B3">
        <v>21</v>
      </c>
      <c r="C3" s="10" t="s">
        <v>6</v>
      </c>
      <c r="E3" s="11" t="s">
        <v>411</v>
      </c>
      <c r="J3" s="11" t="s">
        <v>752</v>
      </c>
    </row>
    <row r="4" spans="1:10" ht="17" x14ac:dyDescent="0.25">
      <c r="A4" t="s">
        <v>2</v>
      </c>
      <c r="B4">
        <v>30</v>
      </c>
      <c r="C4" s="10" t="s">
        <v>4</v>
      </c>
      <c r="E4" s="11" t="s">
        <v>106</v>
      </c>
      <c r="J4" s="11" t="s">
        <v>106</v>
      </c>
    </row>
    <row r="5" spans="1:10" ht="17" x14ac:dyDescent="0.25">
      <c r="A5" t="s">
        <v>2</v>
      </c>
      <c r="B5">
        <v>31</v>
      </c>
      <c r="C5" s="10" t="s">
        <v>6</v>
      </c>
      <c r="E5" s="11" t="s">
        <v>412</v>
      </c>
      <c r="J5" s="11" t="s">
        <v>753</v>
      </c>
    </row>
    <row r="6" spans="1:10" ht="17" x14ac:dyDescent="0.25">
      <c r="A6" t="s">
        <v>2</v>
      </c>
      <c r="B6">
        <v>32</v>
      </c>
      <c r="C6" s="10" t="s">
        <v>4</v>
      </c>
      <c r="E6" s="11" t="s">
        <v>413</v>
      </c>
      <c r="J6" s="11" t="s">
        <v>754</v>
      </c>
    </row>
    <row r="7" spans="1:10" ht="17" x14ac:dyDescent="0.25">
      <c r="A7" t="s">
        <v>2</v>
      </c>
      <c r="B7">
        <v>42</v>
      </c>
      <c r="C7" s="10" t="s">
        <v>4</v>
      </c>
      <c r="E7" s="11" t="s">
        <v>414</v>
      </c>
      <c r="J7" s="11" t="s">
        <v>755</v>
      </c>
    </row>
    <row r="8" spans="1:10" x14ac:dyDescent="0.2">
      <c r="A8" t="s">
        <v>2</v>
      </c>
      <c r="B8">
        <v>43</v>
      </c>
      <c r="C8" s="10" t="s">
        <v>6</v>
      </c>
    </row>
    <row r="9" spans="1:10" ht="17" x14ac:dyDescent="0.25">
      <c r="A9" t="s">
        <v>2</v>
      </c>
      <c r="B9">
        <v>89</v>
      </c>
      <c r="C9" s="10" t="s">
        <v>4</v>
      </c>
      <c r="E9" s="11" t="s">
        <v>415</v>
      </c>
      <c r="J9" s="11" t="s">
        <v>756</v>
      </c>
    </row>
    <row r="10" spans="1:10" ht="17" x14ac:dyDescent="0.25">
      <c r="A10" t="s">
        <v>2</v>
      </c>
      <c r="B10">
        <v>90</v>
      </c>
      <c r="C10" s="10" t="s">
        <v>4</v>
      </c>
      <c r="E10" s="11" t="s">
        <v>105</v>
      </c>
      <c r="J10" s="11" t="s">
        <v>80</v>
      </c>
    </row>
    <row r="11" spans="1:10" ht="17" x14ac:dyDescent="0.25">
      <c r="A11" t="s">
        <v>2</v>
      </c>
      <c r="B11">
        <v>116</v>
      </c>
      <c r="C11" s="10" t="s">
        <v>5</v>
      </c>
      <c r="E11" s="11" t="s">
        <v>416</v>
      </c>
      <c r="J11" s="11" t="s">
        <v>757</v>
      </c>
    </row>
    <row r="12" spans="1:10" ht="17" x14ac:dyDescent="0.25">
      <c r="A12" t="s">
        <v>2</v>
      </c>
      <c r="B12">
        <v>117</v>
      </c>
      <c r="C12" s="10" t="s">
        <v>5</v>
      </c>
      <c r="E12" s="11" t="s">
        <v>417</v>
      </c>
      <c r="J12" s="11" t="s">
        <v>758</v>
      </c>
    </row>
    <row r="13" spans="1:10" ht="17" x14ac:dyDescent="0.25">
      <c r="A13" t="s">
        <v>2</v>
      </c>
      <c r="B13">
        <v>127</v>
      </c>
      <c r="C13" s="10" t="s">
        <v>7</v>
      </c>
      <c r="E13" s="11" t="s">
        <v>418</v>
      </c>
      <c r="J13" s="11" t="s">
        <v>759</v>
      </c>
    </row>
    <row r="14" spans="1:10" x14ac:dyDescent="0.2">
      <c r="A14" t="s">
        <v>2</v>
      </c>
      <c r="B14">
        <v>128</v>
      </c>
      <c r="C14" s="10" t="s">
        <v>4</v>
      </c>
    </row>
    <row r="15" spans="1:10" ht="17" x14ac:dyDescent="0.25">
      <c r="A15" t="s">
        <v>2</v>
      </c>
      <c r="B15">
        <v>156</v>
      </c>
      <c r="C15" s="10" t="s">
        <v>4</v>
      </c>
      <c r="E15" s="11" t="s">
        <v>419</v>
      </c>
      <c r="J15" s="11" t="s">
        <v>760</v>
      </c>
    </row>
    <row r="16" spans="1:10" ht="17" x14ac:dyDescent="0.25">
      <c r="A16" t="s">
        <v>2</v>
      </c>
      <c r="B16">
        <v>157</v>
      </c>
      <c r="C16" s="10" t="s">
        <v>6</v>
      </c>
      <c r="E16" s="11" t="s">
        <v>100</v>
      </c>
      <c r="J16" s="11" t="s">
        <v>100</v>
      </c>
    </row>
    <row r="17" spans="1:10" ht="17" x14ac:dyDescent="0.25">
      <c r="A17" t="s">
        <v>2</v>
      </c>
      <c r="B17">
        <v>158</v>
      </c>
      <c r="C17" s="10" t="s">
        <v>6</v>
      </c>
      <c r="E17" s="11" t="s">
        <v>420</v>
      </c>
      <c r="J17" s="11" t="s">
        <v>761</v>
      </c>
    </row>
    <row r="18" spans="1:10" ht="17" x14ac:dyDescent="0.25">
      <c r="A18" t="s">
        <v>2</v>
      </c>
      <c r="B18">
        <v>159</v>
      </c>
      <c r="C18" s="10" t="s">
        <v>6</v>
      </c>
      <c r="E18" s="11" t="s">
        <v>421</v>
      </c>
      <c r="J18" s="11" t="s">
        <v>762</v>
      </c>
    </row>
    <row r="19" spans="1:10" ht="17" x14ac:dyDescent="0.25">
      <c r="C19" s="10"/>
      <c r="E19" s="11" t="s">
        <v>422</v>
      </c>
      <c r="J19" s="11" t="s">
        <v>763</v>
      </c>
    </row>
    <row r="20" spans="1:10" x14ac:dyDescent="0.2">
      <c r="A20" t="s">
        <v>8</v>
      </c>
      <c r="B20">
        <v>33</v>
      </c>
      <c r="C20" s="10" t="s">
        <v>6</v>
      </c>
    </row>
    <row r="21" spans="1:10" x14ac:dyDescent="0.2">
      <c r="A21" t="s">
        <v>8</v>
      </c>
      <c r="B21">
        <v>34</v>
      </c>
      <c r="C21" s="10" t="s">
        <v>6</v>
      </c>
    </row>
    <row r="22" spans="1:10" ht="17" x14ac:dyDescent="0.25">
      <c r="A22" t="s">
        <v>8</v>
      </c>
      <c r="B22">
        <v>44</v>
      </c>
      <c r="C22" s="10" t="s">
        <v>4</v>
      </c>
      <c r="E22" s="16" t="s">
        <v>423</v>
      </c>
    </row>
    <row r="23" spans="1:10" ht="17" x14ac:dyDescent="0.25">
      <c r="A23" t="s">
        <v>8</v>
      </c>
      <c r="B23">
        <v>45</v>
      </c>
      <c r="C23" s="10" t="s">
        <v>4</v>
      </c>
      <c r="E23" s="11" t="s">
        <v>424</v>
      </c>
    </row>
    <row r="24" spans="1:10" ht="17" x14ac:dyDescent="0.25">
      <c r="A24" t="s">
        <v>8</v>
      </c>
      <c r="B24">
        <v>46</v>
      </c>
      <c r="C24" s="10" t="s">
        <v>6</v>
      </c>
      <c r="E24" s="11" t="s">
        <v>104</v>
      </c>
    </row>
    <row r="25" spans="1:10" ht="17" x14ac:dyDescent="0.25">
      <c r="A25" t="s">
        <v>8</v>
      </c>
      <c r="B25">
        <v>88</v>
      </c>
      <c r="C25" s="10" t="s">
        <v>4</v>
      </c>
      <c r="E25" s="11" t="s">
        <v>425</v>
      </c>
    </row>
    <row r="26" spans="1:10" ht="17" x14ac:dyDescent="0.25">
      <c r="A26" t="s">
        <v>8</v>
      </c>
      <c r="B26">
        <v>91</v>
      </c>
      <c r="C26" s="10" t="s">
        <v>4</v>
      </c>
      <c r="E26" s="11" t="s">
        <v>426</v>
      </c>
    </row>
    <row r="27" spans="1:10" ht="17" x14ac:dyDescent="0.25">
      <c r="A27" t="s">
        <v>8</v>
      </c>
      <c r="B27">
        <v>107</v>
      </c>
      <c r="C27" s="10" t="s">
        <v>6</v>
      </c>
      <c r="E27" s="11" t="s">
        <v>427</v>
      </c>
    </row>
    <row r="28" spans="1:10" x14ac:dyDescent="0.2">
      <c r="A28" t="s">
        <v>8</v>
      </c>
      <c r="B28">
        <v>108</v>
      </c>
      <c r="C28" s="10" t="s">
        <v>4</v>
      </c>
    </row>
    <row r="29" spans="1:10" ht="17" x14ac:dyDescent="0.25">
      <c r="A29" t="s">
        <v>8</v>
      </c>
      <c r="B29">
        <v>109</v>
      </c>
      <c r="C29" s="10" t="s">
        <v>7</v>
      </c>
      <c r="E29" s="11" t="s">
        <v>428</v>
      </c>
    </row>
    <row r="30" spans="1:10" ht="17" x14ac:dyDescent="0.25">
      <c r="A30" t="s">
        <v>8</v>
      </c>
      <c r="B30">
        <v>110</v>
      </c>
      <c r="C30" s="10" t="s">
        <v>6</v>
      </c>
      <c r="E30" s="11" t="s">
        <v>80</v>
      </c>
    </row>
    <row r="31" spans="1:10" ht="17" x14ac:dyDescent="0.25">
      <c r="A31" t="s">
        <v>8</v>
      </c>
      <c r="B31">
        <v>118</v>
      </c>
      <c r="C31" s="10" t="s">
        <v>5</v>
      </c>
      <c r="E31" s="11" t="s">
        <v>429</v>
      </c>
    </row>
    <row r="32" spans="1:10" ht="17" x14ac:dyDescent="0.25">
      <c r="A32" t="s">
        <v>8</v>
      </c>
      <c r="B32">
        <v>119</v>
      </c>
      <c r="C32" s="10" t="s">
        <v>7</v>
      </c>
      <c r="E32" s="11" t="s">
        <v>430</v>
      </c>
    </row>
    <row r="33" spans="1:5" ht="17" x14ac:dyDescent="0.25">
      <c r="A33" t="s">
        <v>8</v>
      </c>
      <c r="B33">
        <v>120</v>
      </c>
      <c r="C33" s="10" t="s">
        <v>6</v>
      </c>
      <c r="E33" s="11" t="s">
        <v>431</v>
      </c>
    </row>
    <row r="35" spans="1:5" ht="17" x14ac:dyDescent="0.25">
      <c r="E35" s="11" t="s">
        <v>432</v>
      </c>
    </row>
    <row r="36" spans="1:5" ht="17" x14ac:dyDescent="0.25">
      <c r="E36" s="11" t="s">
        <v>107</v>
      </c>
    </row>
    <row r="37" spans="1:5" ht="17" x14ac:dyDescent="0.25">
      <c r="E37" s="11" t="s">
        <v>433</v>
      </c>
    </row>
    <row r="38" spans="1:5" ht="17" x14ac:dyDescent="0.25">
      <c r="E38" s="11" t="s">
        <v>434</v>
      </c>
    </row>
    <row r="39" spans="1:5" ht="17" x14ac:dyDescent="0.25">
      <c r="E39" s="11" t="s">
        <v>435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5923-A0B5-4726-AC2F-036ACBAC342D}">
  <dimension ref="A1:J99"/>
  <sheetViews>
    <sheetView workbookViewId="0">
      <selection activeCell="C22" sqref="C22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3</v>
      </c>
      <c r="E1" s="13" t="s">
        <v>172</v>
      </c>
      <c r="J1" s="13" t="s">
        <v>173</v>
      </c>
    </row>
    <row r="2" spans="1:10" ht="17" x14ac:dyDescent="0.25">
      <c r="A2" t="s">
        <v>2</v>
      </c>
      <c r="B2">
        <v>18</v>
      </c>
      <c r="C2" s="1" t="s">
        <v>4</v>
      </c>
      <c r="E2" s="16" t="s">
        <v>436</v>
      </c>
      <c r="J2" s="16" t="s">
        <v>764</v>
      </c>
    </row>
    <row r="3" spans="1:10" ht="17" x14ac:dyDescent="0.25">
      <c r="A3" t="s">
        <v>2</v>
      </c>
      <c r="B3">
        <v>42</v>
      </c>
      <c r="C3" s="1" t="s">
        <v>7</v>
      </c>
      <c r="E3" s="11" t="s">
        <v>437</v>
      </c>
      <c r="J3" s="11" t="s">
        <v>765</v>
      </c>
    </row>
    <row r="4" spans="1:10" ht="17" x14ac:dyDescent="0.25">
      <c r="A4" t="s">
        <v>2</v>
      </c>
      <c r="B4">
        <v>43</v>
      </c>
      <c r="C4" s="1" t="s">
        <v>7</v>
      </c>
      <c r="E4" s="11" t="s">
        <v>122</v>
      </c>
      <c r="J4" s="11" t="s">
        <v>104</v>
      </c>
    </row>
    <row r="5" spans="1:10" ht="17" x14ac:dyDescent="0.25">
      <c r="A5" t="s">
        <v>2</v>
      </c>
      <c r="B5">
        <v>44</v>
      </c>
      <c r="C5" s="1" t="s">
        <v>6</v>
      </c>
      <c r="E5" s="11" t="s">
        <v>438</v>
      </c>
      <c r="J5" s="11" t="s">
        <v>766</v>
      </c>
    </row>
    <row r="6" spans="1:10" ht="17" x14ac:dyDescent="0.25">
      <c r="A6" t="s">
        <v>2</v>
      </c>
      <c r="B6">
        <v>45</v>
      </c>
      <c r="C6" s="1" t="s">
        <v>6</v>
      </c>
      <c r="E6" s="11" t="s">
        <v>439</v>
      </c>
      <c r="J6" s="11" t="s">
        <v>767</v>
      </c>
    </row>
    <row r="7" spans="1:10" ht="17" x14ac:dyDescent="0.25">
      <c r="A7" t="s">
        <v>2</v>
      </c>
      <c r="B7">
        <v>65</v>
      </c>
      <c r="C7" s="1" t="s">
        <v>4</v>
      </c>
      <c r="E7" s="11" t="s">
        <v>440</v>
      </c>
      <c r="J7" s="11" t="s">
        <v>768</v>
      </c>
    </row>
    <row r="8" spans="1:10" x14ac:dyDescent="0.2">
      <c r="A8" t="s">
        <v>2</v>
      </c>
      <c r="B8">
        <v>181</v>
      </c>
      <c r="C8" s="1" t="s">
        <v>5</v>
      </c>
    </row>
    <row r="9" spans="1:10" ht="17" x14ac:dyDescent="0.25">
      <c r="A9" t="s">
        <v>2</v>
      </c>
      <c r="B9">
        <v>182</v>
      </c>
      <c r="C9" s="1" t="s">
        <v>5</v>
      </c>
      <c r="E9" s="11" t="s">
        <v>441</v>
      </c>
      <c r="J9" s="11" t="s">
        <v>769</v>
      </c>
    </row>
    <row r="10" spans="1:10" ht="17" x14ac:dyDescent="0.25">
      <c r="A10" t="s">
        <v>2</v>
      </c>
      <c r="B10">
        <v>183</v>
      </c>
      <c r="C10" s="1" t="s">
        <v>5</v>
      </c>
      <c r="E10" s="11" t="s">
        <v>107</v>
      </c>
      <c r="J10" s="11" t="s">
        <v>122</v>
      </c>
    </row>
    <row r="11" spans="1:10" ht="17" x14ac:dyDescent="0.25">
      <c r="E11" s="11" t="s">
        <v>442</v>
      </c>
      <c r="J11" s="11" t="s">
        <v>770</v>
      </c>
    </row>
    <row r="12" spans="1:10" ht="17" x14ac:dyDescent="0.25">
      <c r="A12" t="s">
        <v>8</v>
      </c>
      <c r="B12">
        <v>14</v>
      </c>
      <c r="C12" s="1" t="s">
        <v>5</v>
      </c>
      <c r="E12" s="11" t="s">
        <v>443</v>
      </c>
      <c r="J12" s="11" t="s">
        <v>771</v>
      </c>
    </row>
    <row r="13" spans="1:10" ht="17" x14ac:dyDescent="0.25">
      <c r="A13" t="s">
        <v>8</v>
      </c>
      <c r="B13">
        <v>15</v>
      </c>
      <c r="C13" s="1" t="s">
        <v>7</v>
      </c>
      <c r="E13" s="11" t="s">
        <v>444</v>
      </c>
      <c r="J13" s="11" t="s">
        <v>772</v>
      </c>
    </row>
    <row r="14" spans="1:10" x14ac:dyDescent="0.2">
      <c r="A14" t="s">
        <v>8</v>
      </c>
      <c r="B14">
        <v>16</v>
      </c>
      <c r="C14" s="1" t="s">
        <v>5</v>
      </c>
    </row>
    <row r="15" spans="1:10" ht="17" x14ac:dyDescent="0.25">
      <c r="A15" t="s">
        <v>8</v>
      </c>
      <c r="B15">
        <v>46</v>
      </c>
      <c r="C15" s="1" t="s">
        <v>6</v>
      </c>
      <c r="E15" s="11" t="s">
        <v>445</v>
      </c>
      <c r="J15" s="11" t="s">
        <v>773</v>
      </c>
    </row>
    <row r="16" spans="1:10" ht="17" x14ac:dyDescent="0.25">
      <c r="A16" t="s">
        <v>8</v>
      </c>
      <c r="B16">
        <v>68</v>
      </c>
      <c r="C16" s="1" t="s">
        <v>5</v>
      </c>
      <c r="E16" s="11" t="s">
        <v>85</v>
      </c>
      <c r="J16" s="11" t="s">
        <v>122</v>
      </c>
    </row>
    <row r="17" spans="1:10" ht="17" x14ac:dyDescent="0.25">
      <c r="A17" t="s">
        <v>8</v>
      </c>
      <c r="B17">
        <v>113</v>
      </c>
      <c r="C17" s="1" t="s">
        <v>4</v>
      </c>
      <c r="E17" s="11" t="s">
        <v>446</v>
      </c>
      <c r="J17" s="11" t="s">
        <v>774</v>
      </c>
    </row>
    <row r="18" spans="1:10" ht="17" x14ac:dyDescent="0.25">
      <c r="A18" t="s">
        <v>8</v>
      </c>
      <c r="B18">
        <v>114</v>
      </c>
      <c r="C18" s="1" t="s">
        <v>4</v>
      </c>
      <c r="E18" s="11" t="s">
        <v>447</v>
      </c>
      <c r="J18" s="11" t="s">
        <v>775</v>
      </c>
    </row>
    <row r="19" spans="1:10" ht="17" x14ac:dyDescent="0.25">
      <c r="A19" t="s">
        <v>8</v>
      </c>
      <c r="B19">
        <v>125</v>
      </c>
      <c r="C19" s="1" t="s">
        <v>4</v>
      </c>
      <c r="E19" s="11" t="s">
        <v>448</v>
      </c>
      <c r="J19" s="11" t="s">
        <v>776</v>
      </c>
    </row>
    <row r="20" spans="1:10" x14ac:dyDescent="0.2">
      <c r="A20" t="s">
        <v>8</v>
      </c>
      <c r="B20">
        <v>126</v>
      </c>
      <c r="C20" s="1" t="s">
        <v>5</v>
      </c>
    </row>
    <row r="21" spans="1:10" x14ac:dyDescent="0.2">
      <c r="A21" t="s">
        <v>8</v>
      </c>
      <c r="B21">
        <v>128</v>
      </c>
      <c r="C21" s="1" t="s">
        <v>6</v>
      </c>
    </row>
    <row r="22" spans="1:10" ht="17" x14ac:dyDescent="0.25">
      <c r="A22" t="s">
        <v>8</v>
      </c>
      <c r="B22">
        <v>168</v>
      </c>
      <c r="C22" s="1" t="s">
        <v>7</v>
      </c>
      <c r="E22" s="16" t="s">
        <v>449</v>
      </c>
      <c r="J22" s="16" t="s">
        <v>777</v>
      </c>
    </row>
    <row r="23" spans="1:10" ht="17" x14ac:dyDescent="0.25">
      <c r="A23" t="s">
        <v>8</v>
      </c>
      <c r="B23">
        <v>184</v>
      </c>
      <c r="C23" s="1" t="s">
        <v>5</v>
      </c>
      <c r="E23" s="11" t="s">
        <v>450</v>
      </c>
      <c r="J23" s="11" t="s">
        <v>778</v>
      </c>
    </row>
    <row r="24" spans="1:10" ht="17" x14ac:dyDescent="0.25">
      <c r="A24" t="s">
        <v>8</v>
      </c>
      <c r="B24">
        <v>185</v>
      </c>
      <c r="C24" s="1" t="s">
        <v>4</v>
      </c>
      <c r="E24" s="11" t="s">
        <v>106</v>
      </c>
      <c r="J24" s="11" t="s">
        <v>106</v>
      </c>
    </row>
    <row r="25" spans="1:10" ht="17" x14ac:dyDescent="0.25">
      <c r="A25" t="s">
        <v>8</v>
      </c>
      <c r="B25">
        <v>186</v>
      </c>
      <c r="C25" s="1" t="s">
        <v>4</v>
      </c>
      <c r="E25" s="11" t="s">
        <v>451</v>
      </c>
      <c r="J25" s="11" t="s">
        <v>779</v>
      </c>
    </row>
    <row r="26" spans="1:10" ht="17" x14ac:dyDescent="0.25">
      <c r="E26" s="11" t="s">
        <v>452</v>
      </c>
      <c r="J26" s="11" t="s">
        <v>780</v>
      </c>
    </row>
    <row r="27" spans="1:10" ht="17" x14ac:dyDescent="0.25">
      <c r="E27" s="11" t="s">
        <v>453</v>
      </c>
      <c r="J27" s="11" t="s">
        <v>781</v>
      </c>
    </row>
    <row r="29" spans="1:10" ht="17" x14ac:dyDescent="0.25">
      <c r="E29" s="11" t="s">
        <v>454</v>
      </c>
      <c r="J29" s="11" t="s">
        <v>782</v>
      </c>
    </row>
    <row r="30" spans="1:10" ht="17" x14ac:dyDescent="0.25">
      <c r="E30" s="11" t="s">
        <v>80</v>
      </c>
      <c r="J30" s="11" t="s">
        <v>80</v>
      </c>
    </row>
    <row r="31" spans="1:10" ht="17" x14ac:dyDescent="0.25">
      <c r="E31" s="11" t="s">
        <v>455</v>
      </c>
      <c r="J31" s="11" t="s">
        <v>783</v>
      </c>
    </row>
    <row r="32" spans="1:10" ht="17" x14ac:dyDescent="0.25">
      <c r="E32" s="11" t="s">
        <v>456</v>
      </c>
      <c r="J32" s="11" t="s">
        <v>784</v>
      </c>
    </row>
    <row r="33" spans="5:10" ht="17" x14ac:dyDescent="0.25">
      <c r="E33" s="11" t="s">
        <v>457</v>
      </c>
      <c r="J33" s="11" t="s">
        <v>785</v>
      </c>
    </row>
    <row r="35" spans="5:10" ht="17" x14ac:dyDescent="0.25">
      <c r="E35" s="11" t="s">
        <v>458</v>
      </c>
      <c r="J35" s="11" t="s">
        <v>786</v>
      </c>
    </row>
    <row r="36" spans="5:10" ht="17" x14ac:dyDescent="0.25">
      <c r="E36" s="11" t="s">
        <v>80</v>
      </c>
      <c r="J36" s="11" t="s">
        <v>107</v>
      </c>
    </row>
    <row r="37" spans="5:10" ht="17" x14ac:dyDescent="0.25">
      <c r="E37" s="11" t="s">
        <v>459</v>
      </c>
      <c r="J37" s="11" t="s">
        <v>787</v>
      </c>
    </row>
    <row r="38" spans="5:10" ht="17" x14ac:dyDescent="0.25">
      <c r="E38" s="11" t="s">
        <v>460</v>
      </c>
      <c r="J38" s="11" t="s">
        <v>788</v>
      </c>
    </row>
    <row r="39" spans="5:10" ht="17" x14ac:dyDescent="0.25">
      <c r="E39" s="11" t="s">
        <v>461</v>
      </c>
      <c r="J39" s="11" t="s">
        <v>789</v>
      </c>
    </row>
    <row r="42" spans="5:10" ht="17" x14ac:dyDescent="0.25">
      <c r="E42" s="16" t="s">
        <v>462</v>
      </c>
      <c r="J42" s="16" t="s">
        <v>790</v>
      </c>
    </row>
    <row r="43" spans="5:10" ht="17" x14ac:dyDescent="0.25">
      <c r="E43" s="11" t="s">
        <v>463</v>
      </c>
      <c r="J43" s="11" t="s">
        <v>791</v>
      </c>
    </row>
    <row r="44" spans="5:10" ht="17" x14ac:dyDescent="0.25">
      <c r="E44" s="11" t="s">
        <v>75</v>
      </c>
      <c r="J44" s="11" t="s">
        <v>104</v>
      </c>
    </row>
    <row r="45" spans="5:10" ht="17" x14ac:dyDescent="0.25">
      <c r="E45" s="11" t="s">
        <v>464</v>
      </c>
      <c r="J45" s="11" t="s">
        <v>792</v>
      </c>
    </row>
    <row r="46" spans="5:10" ht="17" x14ac:dyDescent="0.25">
      <c r="E46" s="11" t="s">
        <v>465</v>
      </c>
      <c r="J46" s="11" t="s">
        <v>793</v>
      </c>
    </row>
    <row r="47" spans="5:10" ht="17" x14ac:dyDescent="0.25">
      <c r="E47" s="11" t="s">
        <v>466</v>
      </c>
      <c r="J47" s="11" t="s">
        <v>794</v>
      </c>
    </row>
    <row r="49" spans="5:10" ht="17" x14ac:dyDescent="0.25">
      <c r="E49" s="11" t="s">
        <v>467</v>
      </c>
      <c r="J49" s="11" t="s">
        <v>795</v>
      </c>
    </row>
    <row r="50" spans="5:10" ht="17" x14ac:dyDescent="0.25">
      <c r="E50" s="11" t="s">
        <v>80</v>
      </c>
      <c r="J50" s="11" t="s">
        <v>107</v>
      </c>
    </row>
    <row r="51" spans="5:10" ht="17" x14ac:dyDescent="0.25">
      <c r="E51" s="11" t="s">
        <v>468</v>
      </c>
      <c r="J51" s="11" t="s">
        <v>796</v>
      </c>
    </row>
    <row r="52" spans="5:10" ht="17" x14ac:dyDescent="0.25">
      <c r="E52" s="11" t="s">
        <v>469</v>
      </c>
      <c r="J52" s="11" t="s">
        <v>797</v>
      </c>
    </row>
    <row r="53" spans="5:10" ht="17" x14ac:dyDescent="0.25">
      <c r="E53" s="11" t="s">
        <v>470</v>
      </c>
      <c r="J53" s="11" t="s">
        <v>798</v>
      </c>
    </row>
    <row r="55" spans="5:10" ht="17" x14ac:dyDescent="0.25">
      <c r="E55" s="11" t="s">
        <v>471</v>
      </c>
      <c r="J55" s="11" t="s">
        <v>799</v>
      </c>
    </row>
    <row r="56" spans="5:10" ht="17" x14ac:dyDescent="0.25">
      <c r="E56" s="11" t="s">
        <v>80</v>
      </c>
      <c r="J56" s="11" t="s">
        <v>100</v>
      </c>
    </row>
    <row r="57" spans="5:10" ht="17" x14ac:dyDescent="0.25">
      <c r="E57" s="11" t="s">
        <v>472</v>
      </c>
      <c r="J57" s="11" t="s">
        <v>800</v>
      </c>
    </row>
    <row r="58" spans="5:10" ht="17" x14ac:dyDescent="0.25">
      <c r="E58" s="11" t="s">
        <v>473</v>
      </c>
      <c r="J58" s="11" t="s">
        <v>801</v>
      </c>
    </row>
    <row r="59" spans="5:10" ht="17" x14ac:dyDescent="0.25">
      <c r="E59" s="11" t="s">
        <v>474</v>
      </c>
      <c r="J59" s="11" t="s">
        <v>802</v>
      </c>
    </row>
    <row r="62" spans="5:10" ht="17" x14ac:dyDescent="0.25">
      <c r="J62" s="14" t="s">
        <v>686</v>
      </c>
    </row>
    <row r="63" spans="5:10" ht="17" x14ac:dyDescent="0.25">
      <c r="J63" s="11" t="s">
        <v>687</v>
      </c>
    </row>
    <row r="64" spans="5:10" ht="17" x14ac:dyDescent="0.25">
      <c r="J64" s="11" t="s">
        <v>127</v>
      </c>
    </row>
    <row r="65" spans="10:10" ht="17" x14ac:dyDescent="0.25">
      <c r="J65" s="11" t="s">
        <v>803</v>
      </c>
    </row>
    <row r="66" spans="10:10" ht="17" x14ac:dyDescent="0.25">
      <c r="J66" s="11" t="s">
        <v>804</v>
      </c>
    </row>
    <row r="67" spans="10:10" ht="17" x14ac:dyDescent="0.25">
      <c r="J67" s="11" t="s">
        <v>805</v>
      </c>
    </row>
    <row r="69" spans="10:10" ht="17" x14ac:dyDescent="0.25">
      <c r="J69" s="11" t="s">
        <v>691</v>
      </c>
    </row>
    <row r="70" spans="10:10" ht="17" x14ac:dyDescent="0.25">
      <c r="J70" s="11" t="s">
        <v>80</v>
      </c>
    </row>
    <row r="71" spans="10:10" ht="17" x14ac:dyDescent="0.25">
      <c r="J71" s="11" t="s">
        <v>806</v>
      </c>
    </row>
    <row r="72" spans="10:10" ht="17" x14ac:dyDescent="0.25">
      <c r="J72" s="11" t="s">
        <v>807</v>
      </c>
    </row>
    <row r="73" spans="10:10" ht="17" x14ac:dyDescent="0.25">
      <c r="J73" s="11" t="s">
        <v>808</v>
      </c>
    </row>
    <row r="75" spans="10:10" ht="17" x14ac:dyDescent="0.25">
      <c r="J75" s="11" t="s">
        <v>695</v>
      </c>
    </row>
    <row r="76" spans="10:10" ht="17" x14ac:dyDescent="0.25">
      <c r="J76" s="11" t="s">
        <v>107</v>
      </c>
    </row>
    <row r="77" spans="10:10" ht="17" x14ac:dyDescent="0.25">
      <c r="J77" s="11" t="s">
        <v>809</v>
      </c>
    </row>
    <row r="78" spans="10:10" ht="17" x14ac:dyDescent="0.25">
      <c r="J78" s="11" t="s">
        <v>810</v>
      </c>
    </row>
    <row r="79" spans="10:10" ht="17" x14ac:dyDescent="0.25">
      <c r="J79" s="11" t="s">
        <v>811</v>
      </c>
    </row>
    <row r="82" spans="10:10" ht="17" x14ac:dyDescent="0.25">
      <c r="J82" s="16" t="s">
        <v>812</v>
      </c>
    </row>
    <row r="83" spans="10:10" ht="17" x14ac:dyDescent="0.25">
      <c r="J83" s="11" t="s">
        <v>813</v>
      </c>
    </row>
    <row r="84" spans="10:10" ht="17" x14ac:dyDescent="0.25">
      <c r="J84" s="11" t="s">
        <v>127</v>
      </c>
    </row>
    <row r="85" spans="10:10" ht="17" x14ac:dyDescent="0.25">
      <c r="J85" s="11" t="s">
        <v>814</v>
      </c>
    </row>
    <row r="86" spans="10:10" ht="17" x14ac:dyDescent="0.25">
      <c r="J86" s="11" t="s">
        <v>815</v>
      </c>
    </row>
    <row r="87" spans="10:10" ht="17" x14ac:dyDescent="0.25">
      <c r="J87" s="11" t="s">
        <v>816</v>
      </c>
    </row>
    <row r="89" spans="10:10" ht="17" x14ac:dyDescent="0.25">
      <c r="J89" s="11" t="s">
        <v>817</v>
      </c>
    </row>
    <row r="90" spans="10:10" ht="17" x14ac:dyDescent="0.25">
      <c r="J90" s="11" t="s">
        <v>80</v>
      </c>
    </row>
    <row r="91" spans="10:10" ht="17" x14ac:dyDescent="0.25">
      <c r="J91" s="11" t="s">
        <v>818</v>
      </c>
    </row>
    <row r="92" spans="10:10" ht="17" x14ac:dyDescent="0.25">
      <c r="J92" s="11" t="s">
        <v>819</v>
      </c>
    </row>
    <row r="93" spans="10:10" ht="17" x14ac:dyDescent="0.25">
      <c r="J93" s="11" t="s">
        <v>820</v>
      </c>
    </row>
    <row r="95" spans="10:10" ht="17" x14ac:dyDescent="0.25">
      <c r="J95" s="11" t="s">
        <v>821</v>
      </c>
    </row>
    <row r="96" spans="10:10" ht="17" x14ac:dyDescent="0.25">
      <c r="J96" s="11" t="s">
        <v>80</v>
      </c>
    </row>
    <row r="97" spans="10:10" ht="17" x14ac:dyDescent="0.25">
      <c r="J97" s="11" t="s">
        <v>822</v>
      </c>
    </row>
    <row r="98" spans="10:10" ht="17" x14ac:dyDescent="0.25">
      <c r="J98" s="11" t="s">
        <v>823</v>
      </c>
    </row>
    <row r="99" spans="10:10" ht="17" x14ac:dyDescent="0.25">
      <c r="J99" s="11" t="s">
        <v>824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953A-F37C-F14A-8607-057DD4DAC606}">
  <dimension ref="A1:I15"/>
  <sheetViews>
    <sheetView workbookViewId="0">
      <selection activeCell="C11" sqref="C1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3</v>
      </c>
      <c r="E1" s="13" t="s">
        <v>172</v>
      </c>
      <c r="I1" s="13" t="s">
        <v>173</v>
      </c>
    </row>
    <row r="2" spans="1:9" x14ac:dyDescent="0.2">
      <c r="A2" t="s">
        <v>2</v>
      </c>
      <c r="B2">
        <v>19</v>
      </c>
      <c r="C2" s="1" t="s">
        <v>6</v>
      </c>
    </row>
    <row r="3" spans="1:9" x14ac:dyDescent="0.2">
      <c r="A3" t="s">
        <v>2</v>
      </c>
      <c r="B3">
        <v>30</v>
      </c>
      <c r="C3" s="1" t="s">
        <v>6</v>
      </c>
    </row>
    <row r="4" spans="1:9" x14ac:dyDescent="0.2">
      <c r="A4" t="s">
        <v>2</v>
      </c>
      <c r="B4">
        <v>31</v>
      </c>
      <c r="C4" s="1" t="s">
        <v>6</v>
      </c>
    </row>
    <row r="5" spans="1:9" x14ac:dyDescent="0.2">
      <c r="A5" t="s">
        <v>2</v>
      </c>
      <c r="B5">
        <v>32</v>
      </c>
      <c r="C5" s="1" t="s">
        <v>4</v>
      </c>
    </row>
    <row r="7" spans="1:9" x14ac:dyDescent="0.2">
      <c r="A7" t="s">
        <v>8</v>
      </c>
      <c r="B7">
        <v>4</v>
      </c>
      <c r="C7" s="1" t="s">
        <v>6</v>
      </c>
    </row>
    <row r="8" spans="1:9" x14ac:dyDescent="0.2">
      <c r="A8" t="s">
        <v>8</v>
      </c>
      <c r="B8">
        <v>71</v>
      </c>
      <c r="C8" s="1" t="s">
        <v>7</v>
      </c>
    </row>
    <row r="9" spans="1:9" x14ac:dyDescent="0.2">
      <c r="A9" t="s">
        <v>8</v>
      </c>
      <c r="B9">
        <v>72</v>
      </c>
      <c r="C9" s="1" t="s">
        <v>6</v>
      </c>
    </row>
    <row r="10" spans="1:9" x14ac:dyDescent="0.2">
      <c r="A10" t="s">
        <v>8</v>
      </c>
      <c r="B10">
        <v>73</v>
      </c>
      <c r="C10" s="1" t="s">
        <v>6</v>
      </c>
    </row>
    <row r="11" spans="1:9" x14ac:dyDescent="0.2">
      <c r="A11" t="s">
        <v>8</v>
      </c>
      <c r="B11">
        <v>74</v>
      </c>
      <c r="C11" s="1" t="s">
        <v>6</v>
      </c>
    </row>
    <row r="12" spans="1:9" x14ac:dyDescent="0.2">
      <c r="A12" t="s">
        <v>8</v>
      </c>
      <c r="B12">
        <v>96</v>
      </c>
      <c r="C12" s="1" t="s">
        <v>7</v>
      </c>
    </row>
    <row r="13" spans="1:9" x14ac:dyDescent="0.2">
      <c r="A13" t="s">
        <v>8</v>
      </c>
      <c r="B13">
        <v>97</v>
      </c>
      <c r="C13" s="1" t="s">
        <v>6</v>
      </c>
    </row>
    <row r="14" spans="1:9" x14ac:dyDescent="0.2">
      <c r="A14" t="s">
        <v>8</v>
      </c>
      <c r="B14">
        <v>98</v>
      </c>
      <c r="C14" s="1" t="s">
        <v>6</v>
      </c>
    </row>
    <row r="15" spans="1:9" x14ac:dyDescent="0.2">
      <c r="A15" t="s">
        <v>8</v>
      </c>
      <c r="B15">
        <v>99</v>
      </c>
      <c r="C15" s="1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D9DF3-17DC-214C-A9EE-7B5D8279C60B}">
  <dimension ref="A1:I59"/>
  <sheetViews>
    <sheetView workbookViewId="0">
      <selection sqref="A1:C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3</v>
      </c>
      <c r="E1" s="13" t="s">
        <v>172</v>
      </c>
      <c r="I1" s="13" t="s">
        <v>173</v>
      </c>
    </row>
    <row r="2" spans="1:9" ht="17" x14ac:dyDescent="0.25">
      <c r="A2" t="s">
        <v>2</v>
      </c>
      <c r="B2">
        <v>6</v>
      </c>
      <c r="C2" s="1" t="s">
        <v>7</v>
      </c>
      <c r="E2" s="14" t="s">
        <v>475</v>
      </c>
      <c r="I2" s="16" t="s">
        <v>825</v>
      </c>
    </row>
    <row r="3" spans="1:9" ht="17" x14ac:dyDescent="0.25">
      <c r="A3" t="s">
        <v>2</v>
      </c>
      <c r="B3">
        <v>7</v>
      </c>
      <c r="C3" s="1" t="s">
        <v>7</v>
      </c>
      <c r="E3" s="11" t="s">
        <v>476</v>
      </c>
      <c r="I3" s="11" t="s">
        <v>826</v>
      </c>
    </row>
    <row r="4" spans="1:9" ht="17" x14ac:dyDescent="0.25">
      <c r="A4" t="s">
        <v>2</v>
      </c>
      <c r="B4">
        <v>29</v>
      </c>
      <c r="C4" s="1" t="s">
        <v>4</v>
      </c>
      <c r="E4" s="11" t="s">
        <v>477</v>
      </c>
      <c r="I4" s="11" t="s">
        <v>107</v>
      </c>
    </row>
    <row r="5" spans="1:9" ht="17" x14ac:dyDescent="0.25">
      <c r="A5" t="s">
        <v>2</v>
      </c>
      <c r="B5">
        <v>30</v>
      </c>
      <c r="C5" s="1" t="s">
        <v>6</v>
      </c>
      <c r="E5" s="11" t="s">
        <v>478</v>
      </c>
      <c r="I5" s="11" t="s">
        <v>827</v>
      </c>
    </row>
    <row r="6" spans="1:9" ht="17" x14ac:dyDescent="0.25">
      <c r="A6" t="s">
        <v>2</v>
      </c>
      <c r="B6">
        <v>31</v>
      </c>
      <c r="C6" s="1" t="s">
        <v>6</v>
      </c>
      <c r="E6" s="11" t="s">
        <v>479</v>
      </c>
      <c r="I6" s="11" t="s">
        <v>828</v>
      </c>
    </row>
    <row r="7" spans="1:9" ht="17" x14ac:dyDescent="0.25">
      <c r="A7" t="s">
        <v>2</v>
      </c>
      <c r="B7">
        <v>133</v>
      </c>
      <c r="C7" s="1" t="s">
        <v>5</v>
      </c>
      <c r="E7" s="11" t="s">
        <v>480</v>
      </c>
      <c r="I7" s="11" t="s">
        <v>829</v>
      </c>
    </row>
    <row r="8" spans="1:9" x14ac:dyDescent="0.2">
      <c r="A8" t="s">
        <v>2</v>
      </c>
      <c r="B8">
        <v>134</v>
      </c>
      <c r="C8" s="1" t="s">
        <v>5</v>
      </c>
    </row>
    <row r="9" spans="1:9" ht="17" x14ac:dyDescent="0.25">
      <c r="A9" t="s">
        <v>2</v>
      </c>
      <c r="B9">
        <v>200</v>
      </c>
      <c r="C9" s="1" t="s">
        <v>5</v>
      </c>
      <c r="E9" s="11" t="s">
        <v>481</v>
      </c>
      <c r="I9" s="11" t="s">
        <v>830</v>
      </c>
    </row>
    <row r="10" spans="1:9" ht="17" x14ac:dyDescent="0.25">
      <c r="A10" t="s">
        <v>2</v>
      </c>
      <c r="B10">
        <v>201</v>
      </c>
      <c r="C10" s="1" t="s">
        <v>4</v>
      </c>
      <c r="E10" s="11" t="s">
        <v>122</v>
      </c>
      <c r="I10" s="11" t="s">
        <v>122</v>
      </c>
    </row>
    <row r="11" spans="1:9" ht="17" x14ac:dyDescent="0.25">
      <c r="A11" t="s">
        <v>2</v>
      </c>
      <c r="B11">
        <v>202</v>
      </c>
      <c r="C11" s="1" t="s">
        <v>4</v>
      </c>
      <c r="E11" s="11" t="s">
        <v>482</v>
      </c>
      <c r="I11" s="11" t="s">
        <v>831</v>
      </c>
    </row>
    <row r="12" spans="1:9" ht="17" x14ac:dyDescent="0.25">
      <c r="E12" s="11" t="s">
        <v>483</v>
      </c>
      <c r="I12" s="11" t="s">
        <v>832</v>
      </c>
    </row>
    <row r="13" spans="1:9" ht="17" x14ac:dyDescent="0.25">
      <c r="A13" t="s">
        <v>8</v>
      </c>
      <c r="B13">
        <v>21</v>
      </c>
      <c r="C13" s="1" t="s">
        <v>4</v>
      </c>
      <c r="E13" s="11" t="s">
        <v>484</v>
      </c>
      <c r="I13" s="11" t="s">
        <v>833</v>
      </c>
    </row>
    <row r="14" spans="1:9" x14ac:dyDescent="0.2">
      <c r="A14" t="s">
        <v>8</v>
      </c>
      <c r="B14">
        <v>22</v>
      </c>
      <c r="C14" s="1" t="s">
        <v>5</v>
      </c>
    </row>
    <row r="15" spans="1:9" ht="17" x14ac:dyDescent="0.25">
      <c r="A15" t="s">
        <v>8</v>
      </c>
      <c r="B15">
        <v>60</v>
      </c>
      <c r="C15" s="1" t="s">
        <v>6</v>
      </c>
      <c r="E15" s="11" t="s">
        <v>485</v>
      </c>
      <c r="I15" s="11" t="s">
        <v>834</v>
      </c>
    </row>
    <row r="16" spans="1:9" ht="17" x14ac:dyDescent="0.25">
      <c r="A16" t="s">
        <v>8</v>
      </c>
      <c r="B16">
        <v>61</v>
      </c>
      <c r="C16" s="1" t="s">
        <v>7</v>
      </c>
      <c r="E16" s="11" t="s">
        <v>486</v>
      </c>
      <c r="I16" s="11" t="s">
        <v>107</v>
      </c>
    </row>
    <row r="17" spans="1:9" ht="17" x14ac:dyDescent="0.25">
      <c r="A17" t="s">
        <v>8</v>
      </c>
      <c r="B17">
        <v>62</v>
      </c>
      <c r="C17" s="1" t="s">
        <v>7</v>
      </c>
      <c r="E17" s="11" t="s">
        <v>487</v>
      </c>
      <c r="I17" s="11" t="s">
        <v>835</v>
      </c>
    </row>
    <row r="18" spans="1:9" ht="17" x14ac:dyDescent="0.25">
      <c r="A18" t="s">
        <v>8</v>
      </c>
      <c r="B18">
        <v>84</v>
      </c>
      <c r="C18" s="1" t="s">
        <v>4</v>
      </c>
      <c r="E18" s="11" t="s">
        <v>488</v>
      </c>
      <c r="I18" s="11" t="s">
        <v>836</v>
      </c>
    </row>
    <row r="19" spans="1:9" ht="17" x14ac:dyDescent="0.25">
      <c r="A19" t="s">
        <v>8</v>
      </c>
      <c r="B19">
        <v>85</v>
      </c>
      <c r="C19" s="1" t="s">
        <v>4</v>
      </c>
      <c r="E19" s="11" t="s">
        <v>489</v>
      </c>
      <c r="I19" s="11" t="s">
        <v>837</v>
      </c>
    </row>
    <row r="20" spans="1:9" x14ac:dyDescent="0.2">
      <c r="A20" t="s">
        <v>8</v>
      </c>
      <c r="B20">
        <v>86</v>
      </c>
      <c r="C20" s="1" t="s">
        <v>4</v>
      </c>
    </row>
    <row r="21" spans="1:9" x14ac:dyDescent="0.2">
      <c r="A21" t="s">
        <v>8</v>
      </c>
      <c r="B21">
        <v>87</v>
      </c>
      <c r="C21" s="1" t="s">
        <v>4</v>
      </c>
    </row>
    <row r="22" spans="1:9" ht="17" x14ac:dyDescent="0.25">
      <c r="A22" t="s">
        <v>8</v>
      </c>
      <c r="B22">
        <v>88</v>
      </c>
      <c r="C22" s="1" t="s">
        <v>7</v>
      </c>
      <c r="E22" s="14" t="s">
        <v>490</v>
      </c>
      <c r="I22" s="14" t="s">
        <v>838</v>
      </c>
    </row>
    <row r="23" spans="1:9" ht="17" x14ac:dyDescent="0.25">
      <c r="A23" t="s">
        <v>8</v>
      </c>
      <c r="B23">
        <v>132</v>
      </c>
      <c r="C23" s="1" t="s">
        <v>6</v>
      </c>
      <c r="E23" s="11" t="s">
        <v>491</v>
      </c>
      <c r="I23" s="11" t="s">
        <v>839</v>
      </c>
    </row>
    <row r="24" spans="1:9" ht="17" x14ac:dyDescent="0.25">
      <c r="A24" t="s">
        <v>8</v>
      </c>
      <c r="B24">
        <v>135</v>
      </c>
      <c r="C24" s="1" t="s">
        <v>5</v>
      </c>
      <c r="E24" s="11" t="s">
        <v>104</v>
      </c>
      <c r="I24" s="11" t="s">
        <v>122</v>
      </c>
    </row>
    <row r="25" spans="1:9" ht="17" x14ac:dyDescent="0.25">
      <c r="A25" t="s">
        <v>8</v>
      </c>
      <c r="B25">
        <v>181</v>
      </c>
      <c r="C25" s="1" t="s">
        <v>7</v>
      </c>
      <c r="E25" s="11" t="s">
        <v>492</v>
      </c>
      <c r="I25" s="11" t="s">
        <v>840</v>
      </c>
    </row>
    <row r="26" spans="1:9" ht="17" x14ac:dyDescent="0.25">
      <c r="E26" s="11" t="s">
        <v>493</v>
      </c>
      <c r="I26" s="11" t="s">
        <v>841</v>
      </c>
    </row>
    <row r="27" spans="1:9" ht="17" x14ac:dyDescent="0.25">
      <c r="E27" s="11" t="s">
        <v>494</v>
      </c>
      <c r="I27" s="11" t="s">
        <v>842</v>
      </c>
    </row>
    <row r="29" spans="1:9" ht="17" x14ac:dyDescent="0.25">
      <c r="E29" s="11" t="s">
        <v>495</v>
      </c>
      <c r="I29" s="11" t="s">
        <v>843</v>
      </c>
    </row>
    <row r="30" spans="1:9" ht="17" x14ac:dyDescent="0.25">
      <c r="E30" s="11" t="s">
        <v>122</v>
      </c>
      <c r="I30" s="11" t="s">
        <v>844</v>
      </c>
    </row>
    <row r="31" spans="1:9" ht="17" x14ac:dyDescent="0.25">
      <c r="E31" s="11" t="s">
        <v>496</v>
      </c>
      <c r="I31" s="11" t="s">
        <v>845</v>
      </c>
    </row>
    <row r="32" spans="1:9" ht="17" x14ac:dyDescent="0.25">
      <c r="E32" s="11" t="s">
        <v>497</v>
      </c>
      <c r="I32" s="11" t="s">
        <v>846</v>
      </c>
    </row>
    <row r="33" spans="5:9" ht="17" x14ac:dyDescent="0.25">
      <c r="E33" s="11" t="s">
        <v>498</v>
      </c>
      <c r="I33" s="11" t="s">
        <v>847</v>
      </c>
    </row>
    <row r="35" spans="5:9" ht="17" x14ac:dyDescent="0.25">
      <c r="E35" s="11" t="s">
        <v>499</v>
      </c>
      <c r="I35" s="11" t="s">
        <v>848</v>
      </c>
    </row>
    <row r="36" spans="5:9" ht="17" x14ac:dyDescent="0.25">
      <c r="E36" s="11" t="s">
        <v>105</v>
      </c>
      <c r="I36" s="11" t="s">
        <v>105</v>
      </c>
    </row>
    <row r="37" spans="5:9" ht="17" x14ac:dyDescent="0.25">
      <c r="E37" s="11" t="s">
        <v>500</v>
      </c>
      <c r="I37" s="11" t="s">
        <v>849</v>
      </c>
    </row>
    <row r="38" spans="5:9" ht="17" x14ac:dyDescent="0.25">
      <c r="E38" s="11" t="s">
        <v>501</v>
      </c>
      <c r="I38" s="11" t="s">
        <v>850</v>
      </c>
    </row>
    <row r="39" spans="5:9" ht="17" x14ac:dyDescent="0.25">
      <c r="E39" s="11" t="s">
        <v>502</v>
      </c>
      <c r="I39" s="11" t="s">
        <v>851</v>
      </c>
    </row>
    <row r="42" spans="5:9" ht="17" x14ac:dyDescent="0.25">
      <c r="E42" s="16" t="s">
        <v>503</v>
      </c>
    </row>
    <row r="43" spans="5:9" ht="17" x14ac:dyDescent="0.25">
      <c r="E43" s="11" t="s">
        <v>504</v>
      </c>
    </row>
    <row r="44" spans="5:9" ht="17" x14ac:dyDescent="0.25">
      <c r="E44" s="11" t="s">
        <v>75</v>
      </c>
    </row>
    <row r="45" spans="5:9" ht="17" x14ac:dyDescent="0.25">
      <c r="E45" s="11" t="s">
        <v>505</v>
      </c>
    </row>
    <row r="46" spans="5:9" ht="17" x14ac:dyDescent="0.25">
      <c r="E46" s="11" t="s">
        <v>506</v>
      </c>
    </row>
    <row r="47" spans="5:9" ht="17" x14ac:dyDescent="0.25">
      <c r="E47" s="11" t="s">
        <v>507</v>
      </c>
    </row>
    <row r="49" spans="5:5" ht="17" x14ac:dyDescent="0.25">
      <c r="E49" s="11" t="s">
        <v>508</v>
      </c>
    </row>
    <row r="50" spans="5:5" ht="17" x14ac:dyDescent="0.25">
      <c r="E50" s="11" t="s">
        <v>80</v>
      </c>
    </row>
    <row r="51" spans="5:5" ht="17" x14ac:dyDescent="0.25">
      <c r="E51" s="11" t="s">
        <v>509</v>
      </c>
    </row>
    <row r="52" spans="5:5" ht="17" x14ac:dyDescent="0.25">
      <c r="E52" s="11" t="s">
        <v>510</v>
      </c>
    </row>
    <row r="53" spans="5:5" ht="17" x14ac:dyDescent="0.25">
      <c r="E53" s="11" t="s">
        <v>511</v>
      </c>
    </row>
    <row r="55" spans="5:5" ht="17" x14ac:dyDescent="0.25">
      <c r="E55" s="11" t="s">
        <v>512</v>
      </c>
    </row>
    <row r="56" spans="5:5" ht="17" x14ac:dyDescent="0.25">
      <c r="E56" s="11" t="s">
        <v>104</v>
      </c>
    </row>
    <row r="57" spans="5:5" ht="17" x14ac:dyDescent="0.25">
      <c r="E57" s="11" t="s">
        <v>513</v>
      </c>
    </row>
    <row r="58" spans="5:5" ht="17" x14ac:dyDescent="0.25">
      <c r="E58" s="11" t="s">
        <v>514</v>
      </c>
    </row>
    <row r="59" spans="5:5" ht="17" x14ac:dyDescent="0.25">
      <c r="E59" s="11" t="s">
        <v>515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0CB5-FFA1-A142-A1DE-FF87907BE51F}">
  <dimension ref="A1:C23"/>
  <sheetViews>
    <sheetView workbookViewId="0">
      <selection sqref="A1:C1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 t="s">
        <v>2</v>
      </c>
      <c r="B2">
        <v>8</v>
      </c>
      <c r="C2" s="1" t="s">
        <v>6</v>
      </c>
    </row>
    <row r="3" spans="1:3" x14ac:dyDescent="0.2">
      <c r="A3" t="s">
        <v>2</v>
      </c>
      <c r="B3">
        <v>17</v>
      </c>
      <c r="C3" s="1" t="s">
        <v>6</v>
      </c>
    </row>
    <row r="4" spans="1:3" x14ac:dyDescent="0.2">
      <c r="A4" t="s">
        <v>2</v>
      </c>
      <c r="B4">
        <v>18</v>
      </c>
      <c r="C4" s="1" t="s">
        <v>4</v>
      </c>
    </row>
    <row r="5" spans="1:3" x14ac:dyDescent="0.2">
      <c r="A5" t="s">
        <v>2</v>
      </c>
      <c r="B5">
        <v>19</v>
      </c>
      <c r="C5" s="1" t="s">
        <v>6</v>
      </c>
    </row>
    <row r="6" spans="1:3" x14ac:dyDescent="0.2">
      <c r="A6" t="s">
        <v>2</v>
      </c>
      <c r="B6">
        <v>31</v>
      </c>
      <c r="C6" s="1" t="s">
        <v>7</v>
      </c>
    </row>
    <row r="7" spans="1:3" x14ac:dyDescent="0.2">
      <c r="A7" t="s">
        <v>2</v>
      </c>
      <c r="B7">
        <v>41</v>
      </c>
      <c r="C7" s="1" t="s">
        <v>4</v>
      </c>
    </row>
    <row r="8" spans="1:3" x14ac:dyDescent="0.2">
      <c r="A8" t="s">
        <v>2</v>
      </c>
      <c r="B8">
        <v>42</v>
      </c>
      <c r="C8" s="1" t="s">
        <v>6</v>
      </c>
    </row>
    <row r="9" spans="1:3" x14ac:dyDescent="0.2">
      <c r="A9" t="s">
        <v>2</v>
      </c>
      <c r="B9">
        <v>52</v>
      </c>
      <c r="C9" s="1" t="s">
        <v>6</v>
      </c>
    </row>
    <row r="10" spans="1:3" x14ac:dyDescent="0.2">
      <c r="A10" t="s">
        <v>2</v>
      </c>
      <c r="B10">
        <v>53</v>
      </c>
      <c r="C10" s="1" t="s">
        <v>6</v>
      </c>
    </row>
    <row r="11" spans="1:3" x14ac:dyDescent="0.2">
      <c r="A11" t="s">
        <v>2</v>
      </c>
      <c r="B11">
        <v>54</v>
      </c>
      <c r="C11" s="1" t="s">
        <v>6</v>
      </c>
    </row>
    <row r="12" spans="1:3" x14ac:dyDescent="0.2">
      <c r="A12" t="s">
        <v>2</v>
      </c>
      <c r="B12">
        <v>55</v>
      </c>
      <c r="C12" s="1" t="s">
        <v>7</v>
      </c>
    </row>
    <row r="13" spans="1:3" x14ac:dyDescent="0.2">
      <c r="A13" t="s">
        <v>2</v>
      </c>
      <c r="B13">
        <v>99</v>
      </c>
      <c r="C13" s="1" t="s">
        <v>4</v>
      </c>
    </row>
    <row r="14" spans="1:3" x14ac:dyDescent="0.2">
      <c r="A14" t="s">
        <v>2</v>
      </c>
      <c r="B14">
        <v>135</v>
      </c>
      <c r="C14" s="1" t="s">
        <v>6</v>
      </c>
    </row>
    <row r="15" spans="1:3" x14ac:dyDescent="0.2">
      <c r="A15" t="s">
        <v>2</v>
      </c>
      <c r="B15">
        <v>136</v>
      </c>
      <c r="C15" s="1" t="s">
        <v>6</v>
      </c>
    </row>
    <row r="16" spans="1:3" x14ac:dyDescent="0.2">
      <c r="A16" t="s">
        <v>2</v>
      </c>
      <c r="B16">
        <v>142</v>
      </c>
      <c r="C16" s="1" t="s">
        <v>7</v>
      </c>
    </row>
    <row r="18" spans="1:3" x14ac:dyDescent="0.2">
      <c r="A18" t="s">
        <v>8</v>
      </c>
      <c r="B18">
        <v>9</v>
      </c>
      <c r="C18" s="1" t="s">
        <v>6</v>
      </c>
    </row>
    <row r="19" spans="1:3" x14ac:dyDescent="0.2">
      <c r="A19" t="s">
        <v>8</v>
      </c>
      <c r="B19">
        <v>76</v>
      </c>
      <c r="C19" s="1" t="s">
        <v>6</v>
      </c>
    </row>
    <row r="20" spans="1:3" x14ac:dyDescent="0.2">
      <c r="A20" t="s">
        <v>8</v>
      </c>
      <c r="B20">
        <v>77</v>
      </c>
      <c r="C20" s="1" t="s">
        <v>6</v>
      </c>
    </row>
    <row r="21" spans="1:3" x14ac:dyDescent="0.2">
      <c r="A21" t="s">
        <v>8</v>
      </c>
      <c r="B21">
        <v>101</v>
      </c>
      <c r="C21" s="1" t="s">
        <v>4</v>
      </c>
    </row>
    <row r="22" spans="1:3" x14ac:dyDescent="0.2">
      <c r="A22" t="s">
        <v>8</v>
      </c>
      <c r="B22">
        <v>102</v>
      </c>
      <c r="C22" s="1" t="s">
        <v>4</v>
      </c>
    </row>
    <row r="23" spans="1:3" x14ac:dyDescent="0.2">
      <c r="A23" t="s">
        <v>8</v>
      </c>
      <c r="B23">
        <v>103</v>
      </c>
      <c r="C23" s="1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E5AC0-CF0B-3646-8216-A2415166114F}">
  <dimension ref="A1:C19"/>
  <sheetViews>
    <sheetView tabSelected="1" workbookViewId="0">
      <selection activeCell="C20" sqref="C20"/>
    </sheetView>
  </sheetViews>
  <sheetFormatPr baseColWidth="10" defaultRowHeight="15" x14ac:dyDescent="0.2"/>
  <sheetData>
    <row r="1" spans="1:3" x14ac:dyDescent="0.2">
      <c r="A1" t="s">
        <v>0</v>
      </c>
      <c r="B1" t="s">
        <v>1</v>
      </c>
      <c r="C1" t="s">
        <v>3</v>
      </c>
    </row>
    <row r="2" spans="1:3" x14ac:dyDescent="0.2">
      <c r="A2" t="s">
        <v>2</v>
      </c>
      <c r="B2">
        <v>7</v>
      </c>
      <c r="C2" s="1" t="s">
        <v>6</v>
      </c>
    </row>
    <row r="3" spans="1:3" x14ac:dyDescent="0.2">
      <c r="A3" t="s">
        <v>2</v>
      </c>
      <c r="B3">
        <v>8</v>
      </c>
      <c r="C3" s="1" t="s">
        <v>6</v>
      </c>
    </row>
    <row r="4" spans="1:3" x14ac:dyDescent="0.2">
      <c r="A4" t="s">
        <v>2</v>
      </c>
      <c r="B4">
        <v>18</v>
      </c>
      <c r="C4" s="1" t="s">
        <v>4</v>
      </c>
    </row>
    <row r="5" spans="1:3" x14ac:dyDescent="0.2">
      <c r="A5" t="s">
        <v>2</v>
      </c>
      <c r="B5">
        <v>19</v>
      </c>
      <c r="C5" s="1" t="s">
        <v>6</v>
      </c>
    </row>
    <row r="6" spans="1:3" x14ac:dyDescent="0.2">
      <c r="A6" t="s">
        <v>2</v>
      </c>
      <c r="B6">
        <v>20</v>
      </c>
      <c r="C6" s="1" t="s">
        <v>6</v>
      </c>
    </row>
    <row r="7" spans="1:3" x14ac:dyDescent="0.2">
      <c r="A7" t="s">
        <v>2</v>
      </c>
      <c r="B7">
        <v>29</v>
      </c>
      <c r="C7" s="1" t="s">
        <v>6</v>
      </c>
    </row>
    <row r="8" spans="1:3" x14ac:dyDescent="0.2">
      <c r="A8" t="s">
        <v>2</v>
      </c>
      <c r="B8">
        <v>30</v>
      </c>
      <c r="C8" s="1" t="s">
        <v>6</v>
      </c>
    </row>
    <row r="9" spans="1:3" x14ac:dyDescent="0.2">
      <c r="A9" t="s">
        <v>2</v>
      </c>
      <c r="B9">
        <v>31</v>
      </c>
      <c r="C9" s="1" t="s">
        <v>6</v>
      </c>
    </row>
    <row r="10" spans="1:3" x14ac:dyDescent="0.2">
      <c r="A10" t="s">
        <v>2</v>
      </c>
      <c r="B10">
        <v>104</v>
      </c>
      <c r="C10" s="1" t="s">
        <v>4</v>
      </c>
    </row>
    <row r="11" spans="1:3" x14ac:dyDescent="0.2">
      <c r="A11" t="s">
        <v>2</v>
      </c>
      <c r="B11">
        <v>105</v>
      </c>
      <c r="C11" s="1" t="s">
        <v>4</v>
      </c>
    </row>
    <row r="13" spans="1:3" x14ac:dyDescent="0.2">
      <c r="A13" t="s">
        <v>8</v>
      </c>
      <c r="B13">
        <v>95</v>
      </c>
      <c r="C13" s="1" t="s">
        <v>6</v>
      </c>
    </row>
    <row r="14" spans="1:3" x14ac:dyDescent="0.2">
      <c r="A14" t="s">
        <v>8</v>
      </c>
      <c r="B14">
        <v>96</v>
      </c>
      <c r="C14" s="1" t="s">
        <v>6</v>
      </c>
    </row>
    <row r="15" spans="1:3" x14ac:dyDescent="0.2">
      <c r="A15" t="s">
        <v>8</v>
      </c>
      <c r="B15">
        <v>97</v>
      </c>
      <c r="C15" s="1" t="s">
        <v>6</v>
      </c>
    </row>
    <row r="16" spans="1:3" x14ac:dyDescent="0.2">
      <c r="A16" t="s">
        <v>8</v>
      </c>
      <c r="B16">
        <v>98</v>
      </c>
      <c r="C16" s="1" t="s">
        <v>6</v>
      </c>
    </row>
    <row r="17" spans="1:3" x14ac:dyDescent="0.2">
      <c r="A17" t="s">
        <v>8</v>
      </c>
      <c r="B17">
        <v>106</v>
      </c>
      <c r="C17" s="1" t="s">
        <v>4</v>
      </c>
    </row>
    <row r="18" spans="1:3" x14ac:dyDescent="0.2">
      <c r="A18" t="s">
        <v>8</v>
      </c>
      <c r="B18">
        <v>107</v>
      </c>
      <c r="C18" s="1" t="s">
        <v>6</v>
      </c>
    </row>
    <row r="19" spans="1:3" x14ac:dyDescent="0.2">
      <c r="A19" t="s">
        <v>8</v>
      </c>
      <c r="B19">
        <v>108</v>
      </c>
      <c r="C19" s="1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3792-7835-4B5A-B10C-1CD48E8A579F}">
  <dimension ref="A1:J5"/>
  <sheetViews>
    <sheetView workbookViewId="0">
      <selection activeCell="J3" sqref="J3"/>
    </sheetView>
  </sheetViews>
  <sheetFormatPr baseColWidth="10" defaultColWidth="8.83203125" defaultRowHeight="15" x14ac:dyDescent="0.2"/>
  <cols>
    <col min="2" max="2" width="10.1640625" customWidth="1"/>
    <col min="3" max="4" width="8.1640625" customWidth="1"/>
    <col min="5" max="5" width="7.33203125" customWidth="1"/>
    <col min="7" max="7" width="9.83203125" customWidth="1"/>
    <col min="10" max="10" width="7.6640625" customWidth="1"/>
  </cols>
  <sheetData>
    <row r="1" spans="1:10" x14ac:dyDescent="0.2">
      <c r="A1" s="12" t="s">
        <v>9</v>
      </c>
      <c r="B1" t="s">
        <v>11</v>
      </c>
      <c r="C1" t="s">
        <v>12</v>
      </c>
      <c r="D1" t="s">
        <v>13</v>
      </c>
      <c r="E1" t="s">
        <v>14</v>
      </c>
      <c r="F1" s="12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">
      <c r="A2">
        <v>180</v>
      </c>
      <c r="B2" s="2">
        <f>(43/A2)</f>
        <v>0.2388888888888889</v>
      </c>
      <c r="C2" s="2">
        <f>(47)/A2</f>
        <v>0.26111111111111113</v>
      </c>
      <c r="D2" s="2">
        <f>30/A2</f>
        <v>0.16666666666666666</v>
      </c>
      <c r="E2" s="2">
        <f>60/A2</f>
        <v>0.33333333333333331</v>
      </c>
      <c r="F2">
        <v>169</v>
      </c>
      <c r="G2" s="2">
        <f>38/F2</f>
        <v>0.22485207100591717</v>
      </c>
      <c r="H2" s="2">
        <f>43/F2</f>
        <v>0.25443786982248523</v>
      </c>
      <c r="I2" s="2">
        <f>36/F2</f>
        <v>0.21301775147928995</v>
      </c>
      <c r="J2" s="2">
        <f>51/F2</f>
        <v>0.30177514792899407</v>
      </c>
    </row>
    <row r="4" spans="1:10" x14ac:dyDescent="0.2">
      <c r="A4" s="18" t="s">
        <v>852</v>
      </c>
      <c r="B4">
        <f>SUM(3,4,13,5,2,2,3,1,2)</f>
        <v>35</v>
      </c>
      <c r="F4" s="18" t="s">
        <v>852</v>
      </c>
      <c r="G4">
        <f>SUM(1,2,1,3,2,4,1,1,4,1,4)</f>
        <v>24</v>
      </c>
    </row>
    <row r="5" spans="1:10" x14ac:dyDescent="0.2">
      <c r="A5" s="17" t="s">
        <v>853</v>
      </c>
      <c r="B5">
        <f>SUM(2,1,1,2,1)</f>
        <v>7</v>
      </c>
      <c r="F5" s="17" t="s">
        <v>853</v>
      </c>
      <c r="G5">
        <f>SUM(1,1,6,3,1,1,1)</f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overview</vt:lpstr>
      <vt:lpstr>PAV058</vt:lpstr>
      <vt:lpstr>PAV060</vt:lpstr>
      <vt:lpstr>PAV062</vt:lpstr>
      <vt:lpstr>PAV064</vt:lpstr>
      <vt:lpstr>PAV065</vt:lpstr>
      <vt:lpstr>PAV066</vt:lpstr>
      <vt:lpstr>PAV067</vt:lpstr>
      <vt:lpstr>PAV069</vt:lpstr>
      <vt:lpstr>PAV070</vt:lpstr>
      <vt:lpstr>PAV073</vt:lpstr>
      <vt:lpstr>PAV075</vt:lpstr>
      <vt:lpstr>PAV076</vt:lpstr>
      <vt:lpstr>PAV079</vt:lpstr>
      <vt:lpstr>PAV081</vt:lpstr>
      <vt:lpstr>PAV083</vt:lpstr>
      <vt:lpstr>PAV084</vt:lpstr>
      <vt:lpstr>math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Karn</dc:creator>
  <cp:lastModifiedBy>Karn, Emma</cp:lastModifiedBy>
  <dcterms:created xsi:type="dcterms:W3CDTF">2026-03-22T17:14:03Z</dcterms:created>
  <dcterms:modified xsi:type="dcterms:W3CDTF">2026-07-07T13:48:58Z</dcterms:modified>
</cp:coreProperties>
</file>